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SouzaJ\Datasets\ald-e-zenodo-dataset\"/>
    </mc:Choice>
  </mc:AlternateContent>
  <xr:revisionPtr revIDLastSave="0" documentId="13_ncr:1_{F61310EB-64D1-4AA6-98E7-C93FDA08560F}" xr6:coauthVersionLast="47" xr6:coauthVersionMax="47" xr10:uidLastSave="{00000000-0000-0000-0000-000000000000}"/>
  <bookViews>
    <workbookView xWindow="-120" yWindow="-120" windowWidth="29040" windowHeight="15720" firstSheet="1" activeTab="1" xr2:uid="{00000000-000D-0000-FFFF-FFFF00000000}"/>
  </bookViews>
  <sheets>
    <sheet name="Form Responses 1" sheetId="1" r:id="rId1"/>
    <sheet name="ALD_meaningful" sheetId="2" r:id="rId2"/>
    <sheet name="ALE_meaningful" sheetId="3" r:id="rId3"/>
    <sheet name="ALD_useful" sheetId="4" r:id="rId4"/>
    <sheet name="ALE_useful"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2" l="1"/>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G2" i="2"/>
  <c r="F2" i="2"/>
  <c r="E2"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G2" i="3"/>
  <c r="F2" i="3"/>
  <c r="E2" i="3"/>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G2" i="5"/>
  <c r="F2" i="5"/>
  <c r="E2" i="5"/>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G2" i="4"/>
  <c r="F2" i="4"/>
  <c r="E2" i="4"/>
</calcChain>
</file>

<file path=xl/sharedStrings.xml><?xml version="1.0" encoding="utf-8"?>
<sst xmlns="http://schemas.openxmlformats.org/spreadsheetml/2006/main" count="568" uniqueCount="192">
  <si>
    <t>Name</t>
  </si>
  <si>
    <t>No. of yrs. of educational and working experience in Materials Science</t>
  </si>
  <si>
    <t>ALD: Q.1 is meaningful.</t>
  </si>
  <si>
    <t xml:space="preserve">ALD: Q.1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</si>
  <si>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t>
  </si>
  <si>
    <t>ALD: Q.2 is meaningful.</t>
  </si>
  <si>
    <t xml:space="preserve">ALD: Q.2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</si>
  <si>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phrase).1</t>
  </si>
  <si>
    <t>ALD: Q.3 is meaningful.</t>
  </si>
  <si>
    <t xml:space="preserve">ALD: Q.3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</si>
  <si>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phrase).2</t>
  </si>
  <si>
    <t>ALD: Q.4 is meaningful.</t>
  </si>
  <si>
    <t xml:space="preserve">ALD: Q.4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</si>
  <si>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phrase).3</t>
  </si>
  <si>
    <t>ALD: Q.5 is meaningful.</t>
  </si>
  <si>
    <t xml:space="preserve">ALD: Q.5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</si>
  <si>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phrase).4</t>
  </si>
  <si>
    <t>ALD: Q.6 is meaningful.</t>
  </si>
  <si>
    <t xml:space="preserve">ALD: Q.6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</si>
  <si>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phrase).5</t>
  </si>
  <si>
    <t>ALD: Q.7 is meaningful.</t>
  </si>
  <si>
    <t xml:space="preserve">ALD: Q.7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</si>
  <si>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phrase).6</t>
  </si>
  <si>
    <t>ALD: Q.8 is meaningful.</t>
  </si>
  <si>
    <t xml:space="preserve">ALD: Q.8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</si>
  <si>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phrase).7</t>
  </si>
  <si>
    <t>ALD: Q.9 is meaningful.</t>
  </si>
  <si>
    <t xml:space="preserve">ALD: Q.9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</si>
  <si>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phrase).8</t>
  </si>
  <si>
    <t>ALD: Q.10 is meaningful.</t>
  </si>
  <si>
    <t xml:space="preserve">ALD: Q.10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</si>
  <si>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phrase).9</t>
  </si>
  <si>
    <t>ALD: Q.11 is meaningful.</t>
  </si>
  <si>
    <t xml:space="preserve">ALD: Q.11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</si>
  <si>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phrase).10</t>
  </si>
  <si>
    <t>ALD: Q.12 is meaningful.</t>
  </si>
  <si>
    <t xml:space="preserve">ALD: Q.12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</si>
  <si>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phrase).11</t>
  </si>
  <si>
    <t>ALD: Q.13 is meaningful.</t>
  </si>
  <si>
    <t xml:space="preserve">ALD: Q.13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</si>
  <si>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phrase).12</t>
  </si>
  <si>
    <t>ALD: Q.14 is meaningful.</t>
  </si>
  <si>
    <t xml:space="preserve">ALD: Q.14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</si>
  <si>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phrase).13</t>
  </si>
  <si>
    <t>ALD: Q.15 is meaningful.</t>
  </si>
  <si>
    <t xml:space="preserve">ALD: Q.15 result provides a useful synthesis of the insights in the Tables.
If the amount of data in original table feels small, imagine the same query operating over a much larger, continuously updated version of the tables. </t>
  </si>
  <si>
    <t>ALD: If your usefulness rating was below 3, please briefly state the reason (one sentence or phrase).14</t>
  </si>
  <si>
    <t>ALD: Q.16 is meaningful.</t>
  </si>
  <si>
    <t xml:space="preserve">ALD: Q.16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</si>
  <si>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phrase).15</t>
  </si>
  <si>
    <t>ALD: Q.17 is meaningful.</t>
  </si>
  <si>
    <t xml:space="preserve">ALD: Q.17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</si>
  <si>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phrase).16</t>
  </si>
  <si>
    <t>ALD: Q.18 is meaningful.</t>
  </si>
  <si>
    <t xml:space="preserve">ALD: Q.18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</si>
  <si>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phrase).17</t>
  </si>
  <si>
    <t>ALD: Q.19 is meaningful.</t>
  </si>
  <si>
    <t xml:space="preserve">ALD: Q.19 result provides a useful synthesis of the insights in the Table.
If the amount of data in original table feels small, imagine the same query operating over a much larger, continuously updated version of the table. </t>
  </si>
  <si>
    <t>ALD: If your usefulness rating was below 3, please briefly state the reason (one sentence or phrase).18</t>
  </si>
  <si>
    <t>ALE: Q.1 is meaningful.</t>
  </si>
  <si>
    <t xml:space="preserve">ALE: Q.1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</si>
  <si>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t>
  </si>
  <si>
    <t>ALE: Q.2 is meaningful.</t>
  </si>
  <si>
    <t xml:space="preserve">ALE: Q.2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</si>
  <si>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phrase).1</t>
  </si>
  <si>
    <t>ALE: Q.3 is meaningful.</t>
  </si>
  <si>
    <t xml:space="preserve">ALE: Q.3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</si>
  <si>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phrase).2</t>
  </si>
  <si>
    <t>ALE: Q.4 is meaningful.</t>
  </si>
  <si>
    <t xml:space="preserve">ALE: Q.4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</si>
  <si>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phrase).3</t>
  </si>
  <si>
    <t>ALE: Q.5 is meaningful.</t>
  </si>
  <si>
    <t xml:space="preserve">ALE: Q.5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</si>
  <si>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phrase).4</t>
  </si>
  <si>
    <t>ALE: Q.6 is meaningful.</t>
  </si>
  <si>
    <t xml:space="preserve">ALE: Q.6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</si>
  <si>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phrase).5</t>
  </si>
  <si>
    <t>ALE: Q.7 is meaningful.</t>
  </si>
  <si>
    <t xml:space="preserve">ALE: Q.7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</si>
  <si>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phrase).6</t>
  </si>
  <si>
    <t>ALE: Q.8 is meaningful.</t>
  </si>
  <si>
    <t xml:space="preserve">ALE: Q.8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</si>
  <si>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phrase).7</t>
  </si>
  <si>
    <t>ALE: Q.9 is meaningful.</t>
  </si>
  <si>
    <t xml:space="preserve">ALE: Q.9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</si>
  <si>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phrase).8</t>
  </si>
  <si>
    <t>ALE: Q.10 is meaningful.</t>
  </si>
  <si>
    <t xml:space="preserve">ALE: Q.10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</si>
  <si>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phrase).9</t>
  </si>
  <si>
    <t>ALE: Q.11 is meaningful.</t>
  </si>
  <si>
    <t xml:space="preserve">ALE: Q.11 result provides a useful synthesis of the insights in the Tables.
If the amount of data in original table feels small, imagine the same query operating over a much larger, continuously updated version of the tables. </t>
  </si>
  <si>
    <t>ALE: If your usefulness rating was below 3, please briefly state the reason (one sentence or phrase).10</t>
  </si>
  <si>
    <t>ALE: Q.12 is meaningful.</t>
  </si>
  <si>
    <t xml:space="preserve">ALE: Q.12 result provides a useful synthesis of the insights in the Tables.
If the amount of data in original tables feels small, imagine the same query operating over a much larger, continuously updated version of the table. </t>
  </si>
  <si>
    <t>ALE: If your usefulness rating was below 3, please briefly state the reason (one sentence or phrase).11</t>
  </si>
  <si>
    <t>ALE: Q.13 is meaningful.</t>
  </si>
  <si>
    <t xml:space="preserve">ALE: Q.13 result provides a useful synthesis of the insights in the Tables.
If the amount of data in original tables feels small, imagine the same query operating over a much larger, continuously updated version of the table. </t>
  </si>
  <si>
    <t>ALE: If your usefulness rating was below 3, please briefly state the reason (one sentence or phrase).12</t>
  </si>
  <si>
    <t>ALE: Q.14 is meaningful.</t>
  </si>
  <si>
    <t xml:space="preserve">ALE: Q.14 result provides a useful synthesis of the insights in the Table.
If the amount of data in original table feels small, imagine the same query operating over a much larger, continuously updated version of the table. </t>
  </si>
  <si>
    <t>ALE: If your usefulness rating was below 3, please briefly state the reason (one sentence or phrase).13</t>
  </si>
  <si>
    <t>Given the demonstrations of queryable knowledge presented so far, overall, what are your impressions of the usefulness of machine-actionable scientific knowledge?</t>
  </si>
  <si>
    <t>What barriers might you foresee in the adoption of machine-actionable scientific tables (e.g., ORKG comparisons) in the ALD/ALE community?</t>
  </si>
  <si>
    <t xml:space="preserve">Wish-List Question: If you could request any query over ALD/ALE review-table data, what would you want to ask? </t>
  </si>
  <si>
    <t>What would motivate you to use or publish machine-actionable tables in your own work?</t>
  </si>
  <si>
    <t>Any other comments you wish to leave.</t>
  </si>
  <si>
    <t>Alex Watkins</t>
  </si>
  <si>
    <t>between 1 to 5 years</t>
  </si>
  <si>
    <t>perceived increased time required to publish data in this way, richness of data, e.g. researchers needing to consistently publish many process parameters or other data points.</t>
  </si>
  <si>
    <t>What surface orientation and termination is most commonly seen in X material when deposited by ALD?</t>
  </si>
  <si>
    <t>Faster access to synthesized insights, Ability to compare conditions across papers instantly, Easier integration of new data, Community adoption or standardization, Clear benefit for my own research workflows</t>
  </si>
  <si>
    <t>Eleni Poupaki</t>
  </si>
  <si>
    <t>sticking coefficient missing</t>
  </si>
  <si>
    <t>Filtering according to the phosphor to be coated, not the material deposited</t>
  </si>
  <si>
    <t>note: precursor category should have been precursor/co-reactant</t>
  </si>
  <si>
    <t>It's hard for me to understand the result of the query</t>
  </si>
  <si>
    <t>Co-reactant columns were not selected correctly from the initial table of the paper; Y(thd)3 is a precursor not a co-reactant.</t>
  </si>
  <si>
    <t>Most of them dont correspond to ALD processes</t>
  </si>
  <si>
    <t>Would be useful to include the stardard deviation of the GPC</t>
  </si>
  <si>
    <t>Dopant not showed, hard to read the table and compare with one another</t>
  </si>
  <si>
    <t>Results are useful, but some rows correspond to the same material and results</t>
  </si>
  <si>
    <t>We don't directly see the correlation between synthesis/annealing conditions to efficiences and lifetimes</t>
  </si>
  <si>
    <t>We need also to explain what this index exactly mean: what does a high index compared to a low mean?</t>
  </si>
  <si>
    <t>Material and precursor are not visible (e.g. orkgr:R1562512)</t>
  </si>
  <si>
    <t>There are more than 1 reactants in Reactant 2 column: this is for cases that the authors stated more than one reactants that were studied in this paper. During this process, we should be able to discriminate these as different ALE processes, to cluster them correctly.</t>
  </si>
  <si>
    <t>Other, unclassified, are a lot: maybe it would be good to show them or include them in another category</t>
  </si>
  <si>
    <t>To include standard deviation as well.</t>
  </si>
  <si>
    <t>It's not clear to me,the selection of reactants: O2/O3: what did the process look like? Also, BCl3→HF? Another thing is the time of cycle, is it the total duration of one ALE cycle?</t>
  </si>
  <si>
    <t>Standard error of avg. EPC would help in the interpretation of the results.</t>
  </si>
  <si>
    <t>For ALE temp -40–20, the EPC is 9. If we read the paper there is a deviation of EPC across the etching temperatures. Also in this paper it is reported that in only specific temperatures, self-limiting behavior is observed.</t>
  </si>
  <si>
    <t>Results are quite generic</t>
  </si>
  <si>
    <t xml:space="preserve">Precursor family is not recognizable, and there are no data available apart from one ion energy window. </t>
  </si>
  <si>
    <t xml:space="preserve">Etching mechanism not easily recognized, temperature range invalid </t>
  </si>
  <si>
    <t>1) Trust by the community (due to invalid data)
2) Reliance on data reported in tables from papers -&gt; some might need further tuning to make the representation correct
3) There are no standardized procedures yet in the ALD/ALE community -&gt; might be hard to compare results across studies</t>
  </si>
  <si>
    <t>For ZnO, group processes by precursor-co-reactant pair and report avg. GPC with stardard deviation, deposition temperature, plasma power (if PEALD) and also reactor used.</t>
  </si>
  <si>
    <t>Ability to compare conditions across papers instantly, Community adoption or standardization, Clear benefit for my own research workflows</t>
  </si>
  <si>
    <t>This is very interesting! Hopefully in the future we will have rich ALD/ALE data where we can do such comparisons!</t>
  </si>
  <si>
    <t>Randall Higuchi</t>
  </si>
  <si>
    <t>more than 10 years</t>
  </si>
  <si>
    <t>Need more details of the reactor used and conditions beyond just temperature</t>
  </si>
  <si>
    <t>Might be a bug but a lot of duplicate rows in the output</t>
  </si>
  <si>
    <t>For Merck(EMD Electronics) based work with precursors this type of query would be very helpful</t>
  </si>
  <si>
    <t>One line shows a precursor as co-reactant and the other line shows O2 plasma as co-reactant. It should not show the precursor in that column per the question - likely H2O or O3?</t>
  </si>
  <si>
    <t>only one family showed up in the output?</t>
  </si>
  <si>
    <t>Co-ractant is not captured properly in the table</t>
  </si>
  <si>
    <t>The table format is too long without - organizing it a little more to be easier to read will help the user instead of a giant list</t>
  </si>
  <si>
    <t>Its taking the second precursor as co-reactant, but the overall data is helpful</t>
  </si>
  <si>
    <t>Probably a typo in the code somewhere but it only shows links for materials and precursors</t>
  </si>
  <si>
    <t>good table could be made better by including etch rates if available</t>
  </si>
  <si>
    <t>Could be related to the papers but the table doesn't have much useful data - there is a lot of overlap/repeat values</t>
  </si>
  <si>
    <t>the outputs were mostly blank, maybe caused by the query but not much useful data when I ran it</t>
  </si>
  <si>
    <t xml:space="preserve">Based on the recent results I do have worry about the table entries, such as putting precursors into the reactant columns does impact the trust you have on the other data. Also, the tables are only as good as the person doing the query, so how accessible will these programs be to all users. But overall being able to evaluate some broad questions and especially be able to try and rank things in the tables looks very valuable. Being able to pull from multiple articles and assemble data tables will be very powerful. </t>
  </si>
  <si>
    <t>An example question from my own work is can we review current literature and rank high-K dielectrics that have been successfully tested. Ranked by dielectric constant but also include any leakage value (including what Voltage it was tested) and what were the electrodes.  Process parameters of Precursor, Reactant, process temperature would be added value.</t>
  </si>
  <si>
    <t>Ability to compare conditions across papers instantly, Availability of user-friendly tools, Clear benefit for my own research workflows</t>
  </si>
  <si>
    <t>I was impressed by the ORKG tables that summarize the papers, that alone is a great starting point, and then to be able to ask any questions to summarize the data will be a very powerful tool, especially if we can compare across papers. Thanks for including me in the survey!</t>
  </si>
  <si>
    <t>QueryIndex</t>
  </si>
  <si>
    <t>QueryID</t>
  </si>
  <si>
    <t>Annotator</t>
  </si>
  <si>
    <t>Rating</t>
  </si>
  <si>
    <t>ALD Q01</t>
  </si>
  <si>
    <t>ALD Q02</t>
  </si>
  <si>
    <t>ALD Q03</t>
  </si>
  <si>
    <t>ALD Q04</t>
  </si>
  <si>
    <t>ALD Q05</t>
  </si>
  <si>
    <t>ALD Q06</t>
  </si>
  <si>
    <t>ALD Q07</t>
  </si>
  <si>
    <t>ALD Q08</t>
  </si>
  <si>
    <t>ALD Q09</t>
  </si>
  <si>
    <t>ALD Q10</t>
  </si>
  <si>
    <t>ALD Q11</t>
  </si>
  <si>
    <t>ALD Q12</t>
  </si>
  <si>
    <t>ALD Q13</t>
  </si>
  <si>
    <t>ALD Q14</t>
  </si>
  <si>
    <t>ALD Q15</t>
  </si>
  <si>
    <t>ALD Q16</t>
  </si>
  <si>
    <t>ALD Q17</t>
  </si>
  <si>
    <t>ALD Q18</t>
  </si>
  <si>
    <t>ALD Q19</t>
  </si>
  <si>
    <t>ALE Q01</t>
  </si>
  <si>
    <t>ALE Q02</t>
  </si>
  <si>
    <t>ALE Q03</t>
  </si>
  <si>
    <t>ALE Q04</t>
  </si>
  <si>
    <t>ALE Q05</t>
  </si>
  <si>
    <t>ALE Q06</t>
  </si>
  <si>
    <t>ALE Q07</t>
  </si>
  <si>
    <t>ALE Q08</t>
  </si>
  <si>
    <t>ALE Q09</t>
  </si>
  <si>
    <t>ALE Q10</t>
  </si>
  <si>
    <t>ALE Q11</t>
  </si>
  <si>
    <t>ALE Q12</t>
  </si>
  <si>
    <t>ALE Q13</t>
  </si>
  <si>
    <t>ALE Q14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</si>
</sst>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Annotator 1</c:v>
          </c:tx>
          <c:spPr>
            <a:ln w="25400" cap="rnd">
              <a:noFill/>
              <a:round/>
            </a:ln>
            <a:effectLst/>
          </c:spPr>
          <c:marker>
            <c:symbol val="circle"/>
            <c:size val="5"/>
            <c:spPr>
              <a:solidFill>
                <a:schemeClr val="accent1"/>
              </a:solidFill>
              <a:ln w="9525">
                <a:solidFill>
                  <a:schemeClr val="accent1"/>
                </a:solidFill>
              </a:ln>
              <a:effectLst/>
            </c:spPr>
          </c:marker>
          <c:xVal>
            <c:numRef>
              <c:f>ALD_meaningful!$A$2:$A$58</c:f>
              <c:numCache>
                <c:formatCode>General</c:formatCode>
                <c:ptCount val="57"/>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pt idx="42">
                  <c:v>15</c:v>
                </c:pt>
                <c:pt idx="43">
                  <c:v>15</c:v>
                </c:pt>
                <c:pt idx="44">
                  <c:v>15</c:v>
                </c:pt>
                <c:pt idx="45">
                  <c:v>16</c:v>
                </c:pt>
                <c:pt idx="46">
                  <c:v>16</c:v>
                </c:pt>
                <c:pt idx="47">
                  <c:v>16</c:v>
                </c:pt>
                <c:pt idx="48">
                  <c:v>17</c:v>
                </c:pt>
                <c:pt idx="49">
                  <c:v>17</c:v>
                </c:pt>
                <c:pt idx="50">
                  <c:v>17</c:v>
                </c:pt>
                <c:pt idx="51">
                  <c:v>18</c:v>
                </c:pt>
                <c:pt idx="52">
                  <c:v>18</c:v>
                </c:pt>
                <c:pt idx="53">
                  <c:v>18</c:v>
                </c:pt>
                <c:pt idx="54">
                  <c:v>19</c:v>
                </c:pt>
                <c:pt idx="55">
                  <c:v>19</c:v>
                </c:pt>
                <c:pt idx="56">
                  <c:v>19</c:v>
                </c:pt>
              </c:numCache>
            </c:numRef>
          </c:xVal>
          <c:yVal>
            <c:numRef>
              <c:f>ALD_meaningful!$E$2:$E$58</c:f>
              <c:numCache>
                <c:formatCode>General</c:formatCode>
                <c:ptCount val="57"/>
                <c:pt idx="0">
                  <c:v>5</c:v>
                </c:pt>
                <c:pt idx="1">
                  <c:v>#N/A</c:v>
                </c:pt>
                <c:pt idx="2">
                  <c:v>#N/A</c:v>
                </c:pt>
                <c:pt idx="3">
                  <c:v>5</c:v>
                </c:pt>
                <c:pt idx="4">
                  <c:v>#N/A</c:v>
                </c:pt>
                <c:pt idx="5">
                  <c:v>#N/A</c:v>
                </c:pt>
                <c:pt idx="6">
                  <c:v>5</c:v>
                </c:pt>
                <c:pt idx="7">
                  <c:v>#N/A</c:v>
                </c:pt>
                <c:pt idx="8">
                  <c:v>#N/A</c:v>
                </c:pt>
                <c:pt idx="9">
                  <c:v>5</c:v>
                </c:pt>
                <c:pt idx="10">
                  <c:v>#N/A</c:v>
                </c:pt>
                <c:pt idx="11">
                  <c:v>#N/A</c:v>
                </c:pt>
                <c:pt idx="12">
                  <c:v>4</c:v>
                </c:pt>
                <c:pt idx="13">
                  <c:v>#N/A</c:v>
                </c:pt>
                <c:pt idx="14">
                  <c:v>#N/A</c:v>
                </c:pt>
                <c:pt idx="15">
                  <c:v>5</c:v>
                </c:pt>
                <c:pt idx="16">
                  <c:v>#N/A</c:v>
                </c:pt>
                <c:pt idx="17">
                  <c:v>#N/A</c:v>
                </c:pt>
                <c:pt idx="18">
                  <c:v>5</c:v>
                </c:pt>
                <c:pt idx="19">
                  <c:v>#N/A</c:v>
                </c:pt>
                <c:pt idx="20">
                  <c:v>#N/A</c:v>
                </c:pt>
                <c:pt idx="21">
                  <c:v>4</c:v>
                </c:pt>
                <c:pt idx="22">
                  <c:v>#N/A</c:v>
                </c:pt>
                <c:pt idx="23">
                  <c:v>#N/A</c:v>
                </c:pt>
                <c:pt idx="24">
                  <c:v>5</c:v>
                </c:pt>
                <c:pt idx="25">
                  <c:v>#N/A</c:v>
                </c:pt>
                <c:pt idx="26">
                  <c:v>#N/A</c:v>
                </c:pt>
                <c:pt idx="27">
                  <c:v>5</c:v>
                </c:pt>
                <c:pt idx="28">
                  <c:v>#N/A</c:v>
                </c:pt>
                <c:pt idx="29">
                  <c:v>#N/A</c:v>
                </c:pt>
                <c:pt idx="30">
                  <c:v>5</c:v>
                </c:pt>
                <c:pt idx="31">
                  <c:v>#N/A</c:v>
                </c:pt>
                <c:pt idx="32">
                  <c:v>#N/A</c:v>
                </c:pt>
                <c:pt idx="33">
                  <c:v>5</c:v>
                </c:pt>
                <c:pt idx="34">
                  <c:v>#N/A</c:v>
                </c:pt>
                <c:pt idx="35">
                  <c:v>#N/A</c:v>
                </c:pt>
                <c:pt idx="36">
                  <c:v>5</c:v>
                </c:pt>
                <c:pt idx="37">
                  <c:v>#N/A</c:v>
                </c:pt>
                <c:pt idx="38">
                  <c:v>#N/A</c:v>
                </c:pt>
                <c:pt idx="39">
                  <c:v>5</c:v>
                </c:pt>
                <c:pt idx="40">
                  <c:v>#N/A</c:v>
                </c:pt>
                <c:pt idx="41">
                  <c:v>#N/A</c:v>
                </c:pt>
                <c:pt idx="42">
                  <c:v>5</c:v>
                </c:pt>
                <c:pt idx="43">
                  <c:v>#N/A</c:v>
                </c:pt>
                <c:pt idx="44">
                  <c:v>#N/A</c:v>
                </c:pt>
                <c:pt idx="45">
                  <c:v>5</c:v>
                </c:pt>
                <c:pt idx="46">
                  <c:v>#N/A</c:v>
                </c:pt>
                <c:pt idx="47">
                  <c:v>#N/A</c:v>
                </c:pt>
                <c:pt idx="48">
                  <c:v>5</c:v>
                </c:pt>
                <c:pt idx="49">
                  <c:v>#N/A</c:v>
                </c:pt>
                <c:pt idx="50">
                  <c:v>#N/A</c:v>
                </c:pt>
                <c:pt idx="51">
                  <c:v>5</c:v>
                </c:pt>
                <c:pt idx="52">
                  <c:v>#N/A</c:v>
                </c:pt>
                <c:pt idx="53">
                  <c:v>#N/A</c:v>
                </c:pt>
                <c:pt idx="54">
                  <c:v>5</c:v>
                </c:pt>
                <c:pt idx="55">
                  <c:v>#N/A</c:v>
                </c:pt>
                <c:pt idx="56">
                  <c:v>#N/A</c:v>
                </c:pt>
              </c:numCache>
            </c:numRef>
          </c:yVal>
          <c:smooth val="0"/>
          <c:extLst>
            <c:ext xmlns:c16="http://schemas.microsoft.com/office/drawing/2014/chart" uri="{C3380CC4-5D6E-409C-BE32-E72D297353CC}">
              <c16:uniqueId val="{00000000-DF66-4C18-A257-68079C7C27C8}"/>
            </c:ext>
          </c:extLst>
        </c:ser>
        <c:ser>
          <c:idx val="1"/>
          <c:order val="1"/>
          <c:tx>
            <c:v>Annotator 2</c:v>
          </c:tx>
          <c:spPr>
            <a:ln w="25400" cap="rnd">
              <a:noFill/>
              <a:round/>
            </a:ln>
            <a:effectLst/>
          </c:spPr>
          <c:marker>
            <c:symbol val="dash"/>
            <c:size val="8"/>
            <c:spPr>
              <a:solidFill>
                <a:schemeClr val="accent2"/>
              </a:solidFill>
              <a:ln w="9525">
                <a:solidFill>
                  <a:schemeClr val="accent2"/>
                </a:solidFill>
              </a:ln>
              <a:effectLst/>
            </c:spPr>
          </c:marker>
          <c:xVal>
            <c:numRef>
              <c:f>ALD_meaningful!$A$2:$A$58</c:f>
              <c:numCache>
                <c:formatCode>General</c:formatCode>
                <c:ptCount val="57"/>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pt idx="42">
                  <c:v>15</c:v>
                </c:pt>
                <c:pt idx="43">
                  <c:v>15</c:v>
                </c:pt>
                <c:pt idx="44">
                  <c:v>15</c:v>
                </c:pt>
                <c:pt idx="45">
                  <c:v>16</c:v>
                </c:pt>
                <c:pt idx="46">
                  <c:v>16</c:v>
                </c:pt>
                <c:pt idx="47">
                  <c:v>16</c:v>
                </c:pt>
                <c:pt idx="48">
                  <c:v>17</c:v>
                </c:pt>
                <c:pt idx="49">
                  <c:v>17</c:v>
                </c:pt>
                <c:pt idx="50">
                  <c:v>17</c:v>
                </c:pt>
                <c:pt idx="51">
                  <c:v>18</c:v>
                </c:pt>
                <c:pt idx="52">
                  <c:v>18</c:v>
                </c:pt>
                <c:pt idx="53">
                  <c:v>18</c:v>
                </c:pt>
                <c:pt idx="54">
                  <c:v>19</c:v>
                </c:pt>
                <c:pt idx="55">
                  <c:v>19</c:v>
                </c:pt>
                <c:pt idx="56">
                  <c:v>19</c:v>
                </c:pt>
              </c:numCache>
            </c:numRef>
          </c:xVal>
          <c:yVal>
            <c:numRef>
              <c:f>ALD_meaningful!$F$2:$F$58</c:f>
              <c:numCache>
                <c:formatCode>General</c:formatCode>
                <c:ptCount val="57"/>
                <c:pt idx="0">
                  <c:v>#N/A</c:v>
                </c:pt>
                <c:pt idx="1">
                  <c:v>3</c:v>
                </c:pt>
                <c:pt idx="2">
                  <c:v>#N/A</c:v>
                </c:pt>
                <c:pt idx="3">
                  <c:v>#N/A</c:v>
                </c:pt>
                <c:pt idx="4">
                  <c:v>4</c:v>
                </c:pt>
                <c:pt idx="5">
                  <c:v>#N/A</c:v>
                </c:pt>
                <c:pt idx="6">
                  <c:v>#N/A</c:v>
                </c:pt>
                <c:pt idx="7">
                  <c:v>4</c:v>
                </c:pt>
                <c:pt idx="8">
                  <c:v>#N/A</c:v>
                </c:pt>
                <c:pt idx="9">
                  <c:v>#N/A</c:v>
                </c:pt>
                <c:pt idx="10">
                  <c:v>5</c:v>
                </c:pt>
                <c:pt idx="11">
                  <c:v>#N/A</c:v>
                </c:pt>
                <c:pt idx="12">
                  <c:v>#N/A</c:v>
                </c:pt>
                <c:pt idx="13">
                  <c:v>4</c:v>
                </c:pt>
                <c:pt idx="14">
                  <c:v>#N/A</c:v>
                </c:pt>
                <c:pt idx="15">
                  <c:v>#N/A</c:v>
                </c:pt>
                <c:pt idx="16">
                  <c:v>4</c:v>
                </c:pt>
                <c:pt idx="17">
                  <c:v>#N/A</c:v>
                </c:pt>
                <c:pt idx="18">
                  <c:v>#N/A</c:v>
                </c:pt>
                <c:pt idx="19">
                  <c:v>4</c:v>
                </c:pt>
                <c:pt idx="20">
                  <c:v>#N/A</c:v>
                </c:pt>
                <c:pt idx="21">
                  <c:v>#N/A</c:v>
                </c:pt>
                <c:pt idx="22">
                  <c:v>2</c:v>
                </c:pt>
                <c:pt idx="23">
                  <c:v>#N/A</c:v>
                </c:pt>
                <c:pt idx="24">
                  <c:v>#N/A</c:v>
                </c:pt>
                <c:pt idx="25">
                  <c:v>5</c:v>
                </c:pt>
                <c:pt idx="26">
                  <c:v>#N/A</c:v>
                </c:pt>
                <c:pt idx="27">
                  <c:v>#N/A</c:v>
                </c:pt>
                <c:pt idx="28">
                  <c:v>4</c:v>
                </c:pt>
                <c:pt idx="29">
                  <c:v>#N/A</c:v>
                </c:pt>
                <c:pt idx="30">
                  <c:v>#N/A</c:v>
                </c:pt>
                <c:pt idx="31">
                  <c:v>2</c:v>
                </c:pt>
                <c:pt idx="32">
                  <c:v>#N/A</c:v>
                </c:pt>
                <c:pt idx="33">
                  <c:v>#N/A</c:v>
                </c:pt>
                <c:pt idx="34">
                  <c:v>4</c:v>
                </c:pt>
                <c:pt idx="35">
                  <c:v>#N/A</c:v>
                </c:pt>
                <c:pt idx="36">
                  <c:v>#N/A</c:v>
                </c:pt>
                <c:pt idx="37">
                  <c:v>4</c:v>
                </c:pt>
                <c:pt idx="38">
                  <c:v>#N/A</c:v>
                </c:pt>
                <c:pt idx="39">
                  <c:v>#N/A</c:v>
                </c:pt>
                <c:pt idx="40">
                  <c:v>2</c:v>
                </c:pt>
                <c:pt idx="41">
                  <c:v>#N/A</c:v>
                </c:pt>
                <c:pt idx="42">
                  <c:v>#N/A</c:v>
                </c:pt>
                <c:pt idx="43">
                  <c:v>4</c:v>
                </c:pt>
                <c:pt idx="44">
                  <c:v>#N/A</c:v>
                </c:pt>
                <c:pt idx="45">
                  <c:v>#N/A</c:v>
                </c:pt>
                <c:pt idx="46">
                  <c:v>4</c:v>
                </c:pt>
                <c:pt idx="47">
                  <c:v>#N/A</c:v>
                </c:pt>
                <c:pt idx="48">
                  <c:v>#N/A</c:v>
                </c:pt>
                <c:pt idx="49">
                  <c:v>5</c:v>
                </c:pt>
                <c:pt idx="50">
                  <c:v>#N/A</c:v>
                </c:pt>
                <c:pt idx="51">
                  <c:v>#N/A</c:v>
                </c:pt>
                <c:pt idx="52">
                  <c:v>4</c:v>
                </c:pt>
                <c:pt idx="53">
                  <c:v>#N/A</c:v>
                </c:pt>
                <c:pt idx="54">
                  <c:v>#N/A</c:v>
                </c:pt>
                <c:pt idx="55">
                  <c:v>4</c:v>
                </c:pt>
                <c:pt idx="56">
                  <c:v>#N/A</c:v>
                </c:pt>
              </c:numCache>
            </c:numRef>
          </c:yVal>
          <c:smooth val="0"/>
          <c:extLst>
            <c:ext xmlns:c16="http://schemas.microsoft.com/office/drawing/2014/chart" uri="{C3380CC4-5D6E-409C-BE32-E72D297353CC}">
              <c16:uniqueId val="{00000001-DF66-4C18-A257-68079C7C27C8}"/>
            </c:ext>
          </c:extLst>
        </c:ser>
        <c:ser>
          <c:idx val="2"/>
          <c:order val="2"/>
          <c:tx>
            <c:v>Annotator 3</c:v>
          </c:tx>
          <c:spPr>
            <a:ln w="25400" cap="rnd">
              <a:noFill/>
              <a:round/>
            </a:ln>
            <a:effectLst/>
          </c:spPr>
          <c:marker>
            <c:symbol val="x"/>
            <c:size val="7"/>
            <c:spPr>
              <a:noFill/>
              <a:ln w="9525">
                <a:solidFill>
                  <a:schemeClr val="accent3"/>
                </a:solidFill>
              </a:ln>
              <a:effectLst/>
            </c:spPr>
          </c:marker>
          <c:xVal>
            <c:numRef>
              <c:f>ALD_meaningful!$A$2:$A$58</c:f>
              <c:numCache>
                <c:formatCode>General</c:formatCode>
                <c:ptCount val="57"/>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pt idx="42">
                  <c:v>15</c:v>
                </c:pt>
                <c:pt idx="43">
                  <c:v>15</c:v>
                </c:pt>
                <c:pt idx="44">
                  <c:v>15</c:v>
                </c:pt>
                <c:pt idx="45">
                  <c:v>16</c:v>
                </c:pt>
                <c:pt idx="46">
                  <c:v>16</c:v>
                </c:pt>
                <c:pt idx="47">
                  <c:v>16</c:v>
                </c:pt>
                <c:pt idx="48">
                  <c:v>17</c:v>
                </c:pt>
                <c:pt idx="49">
                  <c:v>17</c:v>
                </c:pt>
                <c:pt idx="50">
                  <c:v>17</c:v>
                </c:pt>
                <c:pt idx="51">
                  <c:v>18</c:v>
                </c:pt>
                <c:pt idx="52">
                  <c:v>18</c:v>
                </c:pt>
                <c:pt idx="53">
                  <c:v>18</c:v>
                </c:pt>
                <c:pt idx="54">
                  <c:v>19</c:v>
                </c:pt>
                <c:pt idx="55">
                  <c:v>19</c:v>
                </c:pt>
                <c:pt idx="56">
                  <c:v>19</c:v>
                </c:pt>
              </c:numCache>
            </c:numRef>
          </c:xVal>
          <c:yVal>
            <c:numRef>
              <c:f>ALD_meaningful!$G$2:$G$58</c:f>
              <c:numCache>
                <c:formatCode>General</c:formatCode>
                <c:ptCount val="57"/>
                <c:pt idx="0">
                  <c:v>#N/A</c:v>
                </c:pt>
                <c:pt idx="1">
                  <c:v>#N/A</c:v>
                </c:pt>
                <c:pt idx="2">
                  <c:v>4</c:v>
                </c:pt>
                <c:pt idx="3">
                  <c:v>#N/A</c:v>
                </c:pt>
                <c:pt idx="4">
                  <c:v>#N/A</c:v>
                </c:pt>
                <c:pt idx="5">
                  <c:v>5</c:v>
                </c:pt>
                <c:pt idx="6">
                  <c:v>#N/A</c:v>
                </c:pt>
                <c:pt idx="7">
                  <c:v>#N/A</c:v>
                </c:pt>
                <c:pt idx="8">
                  <c:v>4</c:v>
                </c:pt>
                <c:pt idx="9">
                  <c:v>#N/A</c:v>
                </c:pt>
                <c:pt idx="10">
                  <c:v>#N/A</c:v>
                </c:pt>
                <c:pt idx="11">
                  <c:v>4</c:v>
                </c:pt>
                <c:pt idx="12">
                  <c:v>#N/A</c:v>
                </c:pt>
                <c:pt idx="13">
                  <c:v>#N/A</c:v>
                </c:pt>
                <c:pt idx="14">
                  <c:v>4</c:v>
                </c:pt>
                <c:pt idx="15">
                  <c:v>#N/A</c:v>
                </c:pt>
                <c:pt idx="16">
                  <c:v>#N/A</c:v>
                </c:pt>
                <c:pt idx="17">
                  <c:v>5</c:v>
                </c:pt>
                <c:pt idx="18">
                  <c:v>#N/A</c:v>
                </c:pt>
                <c:pt idx="19">
                  <c:v>#N/A</c:v>
                </c:pt>
                <c:pt idx="20">
                  <c:v>4</c:v>
                </c:pt>
                <c:pt idx="21">
                  <c:v>#N/A</c:v>
                </c:pt>
                <c:pt idx="22">
                  <c:v>#N/A</c:v>
                </c:pt>
                <c:pt idx="23">
                  <c:v>4</c:v>
                </c:pt>
                <c:pt idx="24">
                  <c:v>#N/A</c:v>
                </c:pt>
                <c:pt idx="25">
                  <c:v>#N/A</c:v>
                </c:pt>
                <c:pt idx="26">
                  <c:v>5</c:v>
                </c:pt>
                <c:pt idx="27">
                  <c:v>#N/A</c:v>
                </c:pt>
                <c:pt idx="28">
                  <c:v>#N/A</c:v>
                </c:pt>
                <c:pt idx="29">
                  <c:v>5</c:v>
                </c:pt>
                <c:pt idx="30">
                  <c:v>#N/A</c:v>
                </c:pt>
                <c:pt idx="31">
                  <c:v>#N/A</c:v>
                </c:pt>
                <c:pt idx="32">
                  <c:v>5</c:v>
                </c:pt>
                <c:pt idx="33">
                  <c:v>#N/A</c:v>
                </c:pt>
                <c:pt idx="34">
                  <c:v>#N/A</c:v>
                </c:pt>
                <c:pt idx="35">
                  <c:v>5</c:v>
                </c:pt>
                <c:pt idx="36">
                  <c:v>#N/A</c:v>
                </c:pt>
                <c:pt idx="37">
                  <c:v>#N/A</c:v>
                </c:pt>
                <c:pt idx="38">
                  <c:v>5</c:v>
                </c:pt>
                <c:pt idx="39">
                  <c:v>#N/A</c:v>
                </c:pt>
                <c:pt idx="40">
                  <c:v>#N/A</c:v>
                </c:pt>
                <c:pt idx="41">
                  <c:v>5</c:v>
                </c:pt>
                <c:pt idx="42">
                  <c:v>#N/A</c:v>
                </c:pt>
                <c:pt idx="43">
                  <c:v>#N/A</c:v>
                </c:pt>
                <c:pt idx="44">
                  <c:v>5</c:v>
                </c:pt>
                <c:pt idx="45">
                  <c:v>#N/A</c:v>
                </c:pt>
                <c:pt idx="46">
                  <c:v>#N/A</c:v>
                </c:pt>
                <c:pt idx="47">
                  <c:v>4</c:v>
                </c:pt>
                <c:pt idx="48">
                  <c:v>#N/A</c:v>
                </c:pt>
                <c:pt idx="49">
                  <c:v>#N/A</c:v>
                </c:pt>
                <c:pt idx="50">
                  <c:v>5</c:v>
                </c:pt>
                <c:pt idx="51">
                  <c:v>#N/A</c:v>
                </c:pt>
                <c:pt idx="52">
                  <c:v>#N/A</c:v>
                </c:pt>
                <c:pt idx="53">
                  <c:v>5</c:v>
                </c:pt>
                <c:pt idx="54">
                  <c:v>#N/A</c:v>
                </c:pt>
                <c:pt idx="55">
                  <c:v>#N/A</c:v>
                </c:pt>
                <c:pt idx="56">
                  <c:v>4</c:v>
                </c:pt>
              </c:numCache>
            </c:numRef>
          </c:yVal>
          <c:smooth val="0"/>
          <c:extLst>
            <c:ext xmlns:c16="http://schemas.microsoft.com/office/drawing/2014/chart" uri="{C3380CC4-5D6E-409C-BE32-E72D297353CC}">
              <c16:uniqueId val="{00000002-DF66-4C18-A257-68079C7C27C8}"/>
            </c:ext>
          </c:extLst>
        </c:ser>
        <c:dLbls>
          <c:showLegendKey val="0"/>
          <c:showVal val="0"/>
          <c:showCatName val="0"/>
          <c:showSerName val="0"/>
          <c:showPercent val="0"/>
          <c:showBubbleSize val="0"/>
        </c:dLbls>
        <c:axId val="1122915824"/>
        <c:axId val="1122916304"/>
      </c:scatterChart>
      <c:valAx>
        <c:axId val="1122915824"/>
        <c:scaling>
          <c:orientation val="minMax"/>
          <c:max val="19"/>
          <c:min val="1"/>
        </c:scaling>
        <c:delete val="0"/>
        <c:axPos val="b"/>
        <c:majorGridlines>
          <c:spPr>
            <a:ln w="9525" cap="flat" cmpd="sng" algn="ctr">
              <a:solidFill>
                <a:schemeClr val="tx1">
                  <a:lumMod val="15000"/>
                  <a:lumOff val="85000"/>
                </a:schemeClr>
              </a:solidFill>
              <a:round/>
            </a:ln>
            <a:effectLst/>
          </c:spPr>
        </c:majorGridlines>
        <c:numFmt formatCode="&quot;ALD Q&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de-DE"/>
          </a:p>
        </c:txPr>
        <c:crossAx val="1122916304"/>
        <c:crosses val="autoZero"/>
        <c:crossBetween val="midCat"/>
        <c:majorUnit val="1"/>
      </c:valAx>
      <c:valAx>
        <c:axId val="112291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229158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Annotator 1</c:v>
          </c:tx>
          <c:spPr>
            <a:ln w="25400" cap="rnd">
              <a:noFill/>
              <a:round/>
            </a:ln>
            <a:effectLst/>
          </c:spPr>
          <c:marker>
            <c:symbol val="circle"/>
            <c:size val="5"/>
            <c:spPr>
              <a:solidFill>
                <a:schemeClr val="accent1"/>
              </a:solidFill>
              <a:ln w="9525">
                <a:solidFill>
                  <a:schemeClr val="accent1"/>
                </a:solidFill>
              </a:ln>
              <a:effectLst/>
            </c:spPr>
          </c:marker>
          <c:xVal>
            <c:numRef>
              <c:f>ALE_meaningful!$A$2:$A$43</c:f>
              <c:numCache>
                <c:formatCode>General</c:formatCode>
                <c:ptCount val="42"/>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numCache>
            </c:numRef>
          </c:xVal>
          <c:yVal>
            <c:numRef>
              <c:f>ALE_meaningful!$E$2:$E$43</c:f>
              <c:numCache>
                <c:formatCode>General</c:formatCode>
                <c:ptCount val="42"/>
                <c:pt idx="0">
                  <c:v>5</c:v>
                </c:pt>
                <c:pt idx="1">
                  <c:v>#N/A</c:v>
                </c:pt>
                <c:pt idx="2">
                  <c:v>#N/A</c:v>
                </c:pt>
                <c:pt idx="3">
                  <c:v>5</c:v>
                </c:pt>
                <c:pt idx="4">
                  <c:v>#N/A</c:v>
                </c:pt>
                <c:pt idx="5">
                  <c:v>#N/A</c:v>
                </c:pt>
                <c:pt idx="6">
                  <c:v>5</c:v>
                </c:pt>
                <c:pt idx="7">
                  <c:v>#N/A</c:v>
                </c:pt>
                <c:pt idx="8">
                  <c:v>#N/A</c:v>
                </c:pt>
                <c:pt idx="9">
                  <c:v>5</c:v>
                </c:pt>
                <c:pt idx="10">
                  <c:v>#N/A</c:v>
                </c:pt>
                <c:pt idx="11">
                  <c:v>#N/A</c:v>
                </c:pt>
                <c:pt idx="12">
                  <c:v>5</c:v>
                </c:pt>
                <c:pt idx="13">
                  <c:v>#N/A</c:v>
                </c:pt>
                <c:pt idx="14">
                  <c:v>#N/A</c:v>
                </c:pt>
                <c:pt idx="15">
                  <c:v>5</c:v>
                </c:pt>
                <c:pt idx="16">
                  <c:v>#N/A</c:v>
                </c:pt>
                <c:pt idx="17">
                  <c:v>#N/A</c:v>
                </c:pt>
                <c:pt idx="18">
                  <c:v>5</c:v>
                </c:pt>
                <c:pt idx="19">
                  <c:v>#N/A</c:v>
                </c:pt>
                <c:pt idx="20">
                  <c:v>#N/A</c:v>
                </c:pt>
                <c:pt idx="21">
                  <c:v>5</c:v>
                </c:pt>
                <c:pt idx="22">
                  <c:v>#N/A</c:v>
                </c:pt>
                <c:pt idx="23">
                  <c:v>#N/A</c:v>
                </c:pt>
                <c:pt idx="24">
                  <c:v>5</c:v>
                </c:pt>
                <c:pt idx="25">
                  <c:v>#N/A</c:v>
                </c:pt>
                <c:pt idx="26">
                  <c:v>#N/A</c:v>
                </c:pt>
                <c:pt idx="27">
                  <c:v>5</c:v>
                </c:pt>
                <c:pt idx="28">
                  <c:v>#N/A</c:v>
                </c:pt>
                <c:pt idx="29">
                  <c:v>#N/A</c:v>
                </c:pt>
                <c:pt idx="30">
                  <c:v>5</c:v>
                </c:pt>
                <c:pt idx="31">
                  <c:v>#N/A</c:v>
                </c:pt>
                <c:pt idx="32">
                  <c:v>#N/A</c:v>
                </c:pt>
                <c:pt idx="33">
                  <c:v>4</c:v>
                </c:pt>
                <c:pt idx="34">
                  <c:v>#N/A</c:v>
                </c:pt>
                <c:pt idx="35">
                  <c:v>#N/A</c:v>
                </c:pt>
                <c:pt idx="36">
                  <c:v>4</c:v>
                </c:pt>
                <c:pt idx="37">
                  <c:v>#N/A</c:v>
                </c:pt>
                <c:pt idx="38">
                  <c:v>#N/A</c:v>
                </c:pt>
                <c:pt idx="39">
                  <c:v>5</c:v>
                </c:pt>
                <c:pt idx="40">
                  <c:v>#N/A</c:v>
                </c:pt>
                <c:pt idx="41">
                  <c:v>#N/A</c:v>
                </c:pt>
              </c:numCache>
            </c:numRef>
          </c:yVal>
          <c:smooth val="0"/>
          <c:extLst>
            <c:ext xmlns:c16="http://schemas.microsoft.com/office/drawing/2014/chart" uri="{C3380CC4-5D6E-409C-BE32-E72D297353CC}">
              <c16:uniqueId val="{00000000-AF8B-4CB2-B3EE-4FE1FB402308}"/>
            </c:ext>
          </c:extLst>
        </c:ser>
        <c:ser>
          <c:idx val="1"/>
          <c:order val="1"/>
          <c:tx>
            <c:v>Annotator 2</c:v>
          </c:tx>
          <c:spPr>
            <a:ln w="25400" cap="rnd">
              <a:noFill/>
              <a:round/>
            </a:ln>
            <a:effectLst/>
          </c:spPr>
          <c:marker>
            <c:symbol val="dash"/>
            <c:size val="8"/>
            <c:spPr>
              <a:solidFill>
                <a:schemeClr val="accent2"/>
              </a:solidFill>
              <a:ln w="9525">
                <a:solidFill>
                  <a:schemeClr val="accent2"/>
                </a:solidFill>
              </a:ln>
              <a:effectLst/>
            </c:spPr>
          </c:marker>
          <c:xVal>
            <c:numRef>
              <c:f>ALE_meaningful!$A$2:$A$43</c:f>
              <c:numCache>
                <c:formatCode>General</c:formatCode>
                <c:ptCount val="42"/>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numCache>
            </c:numRef>
          </c:xVal>
          <c:yVal>
            <c:numRef>
              <c:f>ALE_meaningful!$F$2:$F$43</c:f>
              <c:numCache>
                <c:formatCode>General</c:formatCode>
                <c:ptCount val="42"/>
                <c:pt idx="0">
                  <c:v>#N/A</c:v>
                </c:pt>
                <c:pt idx="1">
                  <c:v>4</c:v>
                </c:pt>
                <c:pt idx="2">
                  <c:v>#N/A</c:v>
                </c:pt>
                <c:pt idx="3">
                  <c:v>#N/A</c:v>
                </c:pt>
                <c:pt idx="4">
                  <c:v>5</c:v>
                </c:pt>
                <c:pt idx="5">
                  <c:v>#N/A</c:v>
                </c:pt>
                <c:pt idx="6">
                  <c:v>#N/A</c:v>
                </c:pt>
                <c:pt idx="7">
                  <c:v>4</c:v>
                </c:pt>
                <c:pt idx="8">
                  <c:v>#N/A</c:v>
                </c:pt>
                <c:pt idx="9">
                  <c:v>#N/A</c:v>
                </c:pt>
                <c:pt idx="10">
                  <c:v>4</c:v>
                </c:pt>
                <c:pt idx="11">
                  <c:v>#N/A</c:v>
                </c:pt>
                <c:pt idx="12">
                  <c:v>#N/A</c:v>
                </c:pt>
                <c:pt idx="13">
                  <c:v>5</c:v>
                </c:pt>
                <c:pt idx="14">
                  <c:v>#N/A</c:v>
                </c:pt>
                <c:pt idx="15">
                  <c:v>#N/A</c:v>
                </c:pt>
                <c:pt idx="16">
                  <c:v>4</c:v>
                </c:pt>
                <c:pt idx="17">
                  <c:v>#N/A</c:v>
                </c:pt>
                <c:pt idx="18">
                  <c:v>#N/A</c:v>
                </c:pt>
                <c:pt idx="19">
                  <c:v>5</c:v>
                </c:pt>
                <c:pt idx="20">
                  <c:v>#N/A</c:v>
                </c:pt>
                <c:pt idx="21">
                  <c:v>#N/A</c:v>
                </c:pt>
                <c:pt idx="22">
                  <c:v>5</c:v>
                </c:pt>
                <c:pt idx="23">
                  <c:v>#N/A</c:v>
                </c:pt>
                <c:pt idx="24">
                  <c:v>#N/A</c:v>
                </c:pt>
                <c:pt idx="25">
                  <c:v>4</c:v>
                </c:pt>
                <c:pt idx="26">
                  <c:v>#N/A</c:v>
                </c:pt>
                <c:pt idx="27">
                  <c:v>#N/A</c:v>
                </c:pt>
                <c:pt idx="28">
                  <c:v>4</c:v>
                </c:pt>
                <c:pt idx="29">
                  <c:v>#N/A</c:v>
                </c:pt>
                <c:pt idx="30">
                  <c:v>#N/A</c:v>
                </c:pt>
                <c:pt idx="31">
                  <c:v>4</c:v>
                </c:pt>
                <c:pt idx="32">
                  <c:v>#N/A</c:v>
                </c:pt>
                <c:pt idx="33">
                  <c:v>#N/A</c:v>
                </c:pt>
                <c:pt idx="34">
                  <c:v>4</c:v>
                </c:pt>
                <c:pt idx="35">
                  <c:v>#N/A</c:v>
                </c:pt>
                <c:pt idx="36">
                  <c:v>#N/A</c:v>
                </c:pt>
                <c:pt idx="37">
                  <c:v>4</c:v>
                </c:pt>
                <c:pt idx="38">
                  <c:v>#N/A</c:v>
                </c:pt>
                <c:pt idx="39">
                  <c:v>#N/A</c:v>
                </c:pt>
                <c:pt idx="40">
                  <c:v>4</c:v>
                </c:pt>
                <c:pt idx="41">
                  <c:v>#N/A</c:v>
                </c:pt>
              </c:numCache>
            </c:numRef>
          </c:yVal>
          <c:smooth val="0"/>
          <c:extLst>
            <c:ext xmlns:c16="http://schemas.microsoft.com/office/drawing/2014/chart" uri="{C3380CC4-5D6E-409C-BE32-E72D297353CC}">
              <c16:uniqueId val="{00000001-AF8B-4CB2-B3EE-4FE1FB402308}"/>
            </c:ext>
          </c:extLst>
        </c:ser>
        <c:ser>
          <c:idx val="2"/>
          <c:order val="2"/>
          <c:tx>
            <c:v>Annotator 3</c:v>
          </c:tx>
          <c:spPr>
            <a:ln w="25400" cap="rnd">
              <a:noFill/>
              <a:round/>
            </a:ln>
            <a:effectLst/>
          </c:spPr>
          <c:marker>
            <c:symbol val="x"/>
            <c:size val="7"/>
            <c:spPr>
              <a:noFill/>
              <a:ln w="9525">
                <a:solidFill>
                  <a:schemeClr val="accent3"/>
                </a:solidFill>
              </a:ln>
              <a:effectLst/>
            </c:spPr>
          </c:marker>
          <c:xVal>
            <c:numRef>
              <c:f>ALE_meaningful!$A$2:$A$43</c:f>
              <c:numCache>
                <c:formatCode>General</c:formatCode>
                <c:ptCount val="42"/>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numCache>
            </c:numRef>
          </c:xVal>
          <c:yVal>
            <c:numRef>
              <c:f>ALE_meaningful!$G$2:$G$43</c:f>
              <c:numCache>
                <c:formatCode>General</c:formatCode>
                <c:ptCount val="42"/>
                <c:pt idx="0">
                  <c:v>#N/A</c:v>
                </c:pt>
                <c:pt idx="1">
                  <c:v>#N/A</c:v>
                </c:pt>
                <c:pt idx="2">
                  <c:v>5</c:v>
                </c:pt>
                <c:pt idx="3">
                  <c:v>#N/A</c:v>
                </c:pt>
                <c:pt idx="4">
                  <c:v>#N/A</c:v>
                </c:pt>
                <c:pt idx="5">
                  <c:v>5</c:v>
                </c:pt>
                <c:pt idx="6">
                  <c:v>#N/A</c:v>
                </c:pt>
                <c:pt idx="7">
                  <c:v>#N/A</c:v>
                </c:pt>
                <c:pt idx="8">
                  <c:v>5</c:v>
                </c:pt>
                <c:pt idx="9">
                  <c:v>#N/A</c:v>
                </c:pt>
                <c:pt idx="10">
                  <c:v>#N/A</c:v>
                </c:pt>
                <c:pt idx="11">
                  <c:v>5</c:v>
                </c:pt>
                <c:pt idx="12">
                  <c:v>#N/A</c:v>
                </c:pt>
                <c:pt idx="13">
                  <c:v>#N/A</c:v>
                </c:pt>
                <c:pt idx="14">
                  <c:v>5</c:v>
                </c:pt>
                <c:pt idx="15">
                  <c:v>#N/A</c:v>
                </c:pt>
                <c:pt idx="16">
                  <c:v>#N/A</c:v>
                </c:pt>
                <c:pt idx="17">
                  <c:v>5</c:v>
                </c:pt>
                <c:pt idx="18">
                  <c:v>#N/A</c:v>
                </c:pt>
                <c:pt idx="19">
                  <c:v>#N/A</c:v>
                </c:pt>
                <c:pt idx="20">
                  <c:v>5</c:v>
                </c:pt>
                <c:pt idx="21">
                  <c:v>#N/A</c:v>
                </c:pt>
                <c:pt idx="22">
                  <c:v>#N/A</c:v>
                </c:pt>
                <c:pt idx="23">
                  <c:v>5</c:v>
                </c:pt>
                <c:pt idx="24">
                  <c:v>#N/A</c:v>
                </c:pt>
                <c:pt idx="25">
                  <c:v>#N/A</c:v>
                </c:pt>
                <c:pt idx="26">
                  <c:v>5</c:v>
                </c:pt>
                <c:pt idx="27">
                  <c:v>#N/A</c:v>
                </c:pt>
                <c:pt idx="28">
                  <c:v>#N/A</c:v>
                </c:pt>
                <c:pt idx="29">
                  <c:v>4</c:v>
                </c:pt>
                <c:pt idx="30">
                  <c:v>#N/A</c:v>
                </c:pt>
                <c:pt idx="31">
                  <c:v>#N/A</c:v>
                </c:pt>
                <c:pt idx="32">
                  <c:v>5</c:v>
                </c:pt>
                <c:pt idx="33">
                  <c:v>#N/A</c:v>
                </c:pt>
                <c:pt idx="34">
                  <c:v>#N/A</c:v>
                </c:pt>
                <c:pt idx="35">
                  <c:v>5</c:v>
                </c:pt>
                <c:pt idx="36">
                  <c:v>#N/A</c:v>
                </c:pt>
                <c:pt idx="37">
                  <c:v>#N/A</c:v>
                </c:pt>
                <c:pt idx="38">
                  <c:v>5</c:v>
                </c:pt>
                <c:pt idx="39">
                  <c:v>#N/A</c:v>
                </c:pt>
                <c:pt idx="40">
                  <c:v>#N/A</c:v>
                </c:pt>
                <c:pt idx="41">
                  <c:v>5</c:v>
                </c:pt>
              </c:numCache>
            </c:numRef>
          </c:yVal>
          <c:smooth val="0"/>
          <c:extLst>
            <c:ext xmlns:c16="http://schemas.microsoft.com/office/drawing/2014/chart" uri="{C3380CC4-5D6E-409C-BE32-E72D297353CC}">
              <c16:uniqueId val="{00000002-AF8B-4CB2-B3EE-4FE1FB402308}"/>
            </c:ext>
          </c:extLst>
        </c:ser>
        <c:dLbls>
          <c:showLegendKey val="0"/>
          <c:showVal val="0"/>
          <c:showCatName val="0"/>
          <c:showSerName val="0"/>
          <c:showPercent val="0"/>
          <c:showBubbleSize val="0"/>
        </c:dLbls>
        <c:axId val="1374155439"/>
        <c:axId val="1374149199"/>
      </c:scatterChart>
      <c:valAx>
        <c:axId val="1374155439"/>
        <c:scaling>
          <c:orientation val="minMax"/>
          <c:max val="14"/>
          <c:min val="1"/>
        </c:scaling>
        <c:delete val="0"/>
        <c:axPos val="b"/>
        <c:majorGridlines>
          <c:spPr>
            <a:ln w="9525" cap="flat" cmpd="sng" algn="ctr">
              <a:solidFill>
                <a:schemeClr val="tx1">
                  <a:lumMod val="15000"/>
                  <a:lumOff val="85000"/>
                </a:schemeClr>
              </a:solidFill>
              <a:round/>
            </a:ln>
            <a:effectLst/>
          </c:spPr>
        </c:majorGridlines>
        <c:numFmt formatCode="&quot;ALE Q&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de-DE"/>
          </a:p>
        </c:txPr>
        <c:crossAx val="1374149199"/>
        <c:crosses val="autoZero"/>
        <c:crossBetween val="midCat"/>
        <c:majorUnit val="1"/>
      </c:valAx>
      <c:valAx>
        <c:axId val="137414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7415543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Annotator 1</c:v>
          </c:tx>
          <c:spPr>
            <a:ln w="25400" cap="rnd">
              <a:noFill/>
              <a:round/>
            </a:ln>
            <a:effectLst/>
          </c:spPr>
          <c:marker>
            <c:symbol val="circle"/>
            <c:size val="5"/>
            <c:spPr>
              <a:solidFill>
                <a:schemeClr val="accent1"/>
              </a:solidFill>
              <a:ln w="9525">
                <a:solidFill>
                  <a:schemeClr val="accent1"/>
                </a:solidFill>
              </a:ln>
              <a:effectLst/>
            </c:spPr>
          </c:marker>
          <c:xVal>
            <c:numRef>
              <c:f>ALD_useful!$A$2:$A$58</c:f>
              <c:numCache>
                <c:formatCode>General</c:formatCode>
                <c:ptCount val="57"/>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pt idx="42">
                  <c:v>15</c:v>
                </c:pt>
                <c:pt idx="43">
                  <c:v>15</c:v>
                </c:pt>
                <c:pt idx="44">
                  <c:v>15</c:v>
                </c:pt>
                <c:pt idx="45">
                  <c:v>16</c:v>
                </c:pt>
                <c:pt idx="46">
                  <c:v>16</c:v>
                </c:pt>
                <c:pt idx="47">
                  <c:v>16</c:v>
                </c:pt>
                <c:pt idx="48">
                  <c:v>17</c:v>
                </c:pt>
                <c:pt idx="49">
                  <c:v>17</c:v>
                </c:pt>
                <c:pt idx="50">
                  <c:v>17</c:v>
                </c:pt>
                <c:pt idx="51">
                  <c:v>18</c:v>
                </c:pt>
                <c:pt idx="52">
                  <c:v>18</c:v>
                </c:pt>
                <c:pt idx="53">
                  <c:v>18</c:v>
                </c:pt>
                <c:pt idx="54">
                  <c:v>19</c:v>
                </c:pt>
                <c:pt idx="55">
                  <c:v>19</c:v>
                </c:pt>
                <c:pt idx="56">
                  <c:v>19</c:v>
                </c:pt>
              </c:numCache>
            </c:numRef>
          </c:xVal>
          <c:yVal>
            <c:numRef>
              <c:f>ALD_useful!$E$2:$E$58</c:f>
              <c:numCache>
                <c:formatCode>General</c:formatCode>
                <c:ptCount val="57"/>
                <c:pt idx="0">
                  <c:v>5</c:v>
                </c:pt>
                <c:pt idx="1">
                  <c:v>#N/A</c:v>
                </c:pt>
                <c:pt idx="2">
                  <c:v>#N/A</c:v>
                </c:pt>
                <c:pt idx="3">
                  <c:v>5</c:v>
                </c:pt>
                <c:pt idx="4">
                  <c:v>#N/A</c:v>
                </c:pt>
                <c:pt idx="5">
                  <c:v>#N/A</c:v>
                </c:pt>
                <c:pt idx="6">
                  <c:v>5</c:v>
                </c:pt>
                <c:pt idx="7">
                  <c:v>#N/A</c:v>
                </c:pt>
                <c:pt idx="8">
                  <c:v>#N/A</c:v>
                </c:pt>
                <c:pt idx="9">
                  <c:v>5</c:v>
                </c:pt>
                <c:pt idx="10">
                  <c:v>#N/A</c:v>
                </c:pt>
                <c:pt idx="11">
                  <c:v>#N/A</c:v>
                </c:pt>
                <c:pt idx="12">
                  <c:v>5</c:v>
                </c:pt>
                <c:pt idx="13">
                  <c:v>#N/A</c:v>
                </c:pt>
                <c:pt idx="14">
                  <c:v>#N/A</c:v>
                </c:pt>
                <c:pt idx="15">
                  <c:v>5</c:v>
                </c:pt>
                <c:pt idx="16">
                  <c:v>#N/A</c:v>
                </c:pt>
                <c:pt idx="17">
                  <c:v>#N/A</c:v>
                </c:pt>
                <c:pt idx="18">
                  <c:v>5</c:v>
                </c:pt>
                <c:pt idx="19">
                  <c:v>#N/A</c:v>
                </c:pt>
                <c:pt idx="20">
                  <c:v>#N/A</c:v>
                </c:pt>
                <c:pt idx="21">
                  <c:v>3</c:v>
                </c:pt>
                <c:pt idx="22">
                  <c:v>#N/A</c:v>
                </c:pt>
                <c:pt idx="23">
                  <c:v>#N/A</c:v>
                </c:pt>
                <c:pt idx="24">
                  <c:v>5</c:v>
                </c:pt>
                <c:pt idx="25">
                  <c:v>#N/A</c:v>
                </c:pt>
                <c:pt idx="26">
                  <c:v>#N/A</c:v>
                </c:pt>
                <c:pt idx="27">
                  <c:v>5</c:v>
                </c:pt>
                <c:pt idx="28">
                  <c:v>#N/A</c:v>
                </c:pt>
                <c:pt idx="29">
                  <c:v>#N/A</c:v>
                </c:pt>
                <c:pt idx="30">
                  <c:v>5</c:v>
                </c:pt>
                <c:pt idx="31">
                  <c:v>#N/A</c:v>
                </c:pt>
                <c:pt idx="32">
                  <c:v>#N/A</c:v>
                </c:pt>
                <c:pt idx="33">
                  <c:v>5</c:v>
                </c:pt>
                <c:pt idx="34">
                  <c:v>#N/A</c:v>
                </c:pt>
                <c:pt idx="35">
                  <c:v>#N/A</c:v>
                </c:pt>
                <c:pt idx="36">
                  <c:v>5</c:v>
                </c:pt>
                <c:pt idx="37">
                  <c:v>#N/A</c:v>
                </c:pt>
                <c:pt idx="38">
                  <c:v>#N/A</c:v>
                </c:pt>
                <c:pt idx="39">
                  <c:v>5</c:v>
                </c:pt>
                <c:pt idx="40">
                  <c:v>#N/A</c:v>
                </c:pt>
                <c:pt idx="41">
                  <c:v>#N/A</c:v>
                </c:pt>
                <c:pt idx="42">
                  <c:v>5</c:v>
                </c:pt>
                <c:pt idx="43">
                  <c:v>#N/A</c:v>
                </c:pt>
                <c:pt idx="44">
                  <c:v>#N/A</c:v>
                </c:pt>
                <c:pt idx="45">
                  <c:v>5</c:v>
                </c:pt>
                <c:pt idx="46">
                  <c:v>#N/A</c:v>
                </c:pt>
                <c:pt idx="47">
                  <c:v>#N/A</c:v>
                </c:pt>
                <c:pt idx="48">
                  <c:v>5</c:v>
                </c:pt>
                <c:pt idx="49">
                  <c:v>#N/A</c:v>
                </c:pt>
                <c:pt idx="50">
                  <c:v>#N/A</c:v>
                </c:pt>
                <c:pt idx="51">
                  <c:v>5</c:v>
                </c:pt>
                <c:pt idx="52">
                  <c:v>#N/A</c:v>
                </c:pt>
                <c:pt idx="53">
                  <c:v>#N/A</c:v>
                </c:pt>
                <c:pt idx="54">
                  <c:v>5</c:v>
                </c:pt>
                <c:pt idx="55">
                  <c:v>#N/A</c:v>
                </c:pt>
                <c:pt idx="56">
                  <c:v>#N/A</c:v>
                </c:pt>
              </c:numCache>
            </c:numRef>
          </c:yVal>
          <c:smooth val="0"/>
          <c:extLst>
            <c:ext xmlns:c16="http://schemas.microsoft.com/office/drawing/2014/chart" uri="{C3380CC4-5D6E-409C-BE32-E72D297353CC}">
              <c16:uniqueId val="{00000004-2703-4E0E-8494-06FB1FA7CB78}"/>
            </c:ext>
          </c:extLst>
        </c:ser>
        <c:ser>
          <c:idx val="1"/>
          <c:order val="1"/>
          <c:tx>
            <c:v>Annotator 2</c:v>
          </c:tx>
          <c:spPr>
            <a:ln w="25400" cap="rnd">
              <a:noFill/>
              <a:round/>
            </a:ln>
            <a:effectLst/>
          </c:spPr>
          <c:marker>
            <c:symbol val="dash"/>
            <c:size val="8"/>
            <c:spPr>
              <a:solidFill>
                <a:schemeClr val="accent2"/>
              </a:solidFill>
              <a:ln w="9525">
                <a:solidFill>
                  <a:schemeClr val="accent2"/>
                </a:solidFill>
              </a:ln>
              <a:effectLst/>
            </c:spPr>
          </c:marker>
          <c:xVal>
            <c:numRef>
              <c:f>ALD_useful!$A$2:$A$58</c:f>
              <c:numCache>
                <c:formatCode>General</c:formatCode>
                <c:ptCount val="57"/>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pt idx="42">
                  <c:v>15</c:v>
                </c:pt>
                <c:pt idx="43">
                  <c:v>15</c:v>
                </c:pt>
                <c:pt idx="44">
                  <c:v>15</c:v>
                </c:pt>
                <c:pt idx="45">
                  <c:v>16</c:v>
                </c:pt>
                <c:pt idx="46">
                  <c:v>16</c:v>
                </c:pt>
                <c:pt idx="47">
                  <c:v>16</c:v>
                </c:pt>
                <c:pt idx="48">
                  <c:v>17</c:v>
                </c:pt>
                <c:pt idx="49">
                  <c:v>17</c:v>
                </c:pt>
                <c:pt idx="50">
                  <c:v>17</c:v>
                </c:pt>
                <c:pt idx="51">
                  <c:v>18</c:v>
                </c:pt>
                <c:pt idx="52">
                  <c:v>18</c:v>
                </c:pt>
                <c:pt idx="53">
                  <c:v>18</c:v>
                </c:pt>
                <c:pt idx="54">
                  <c:v>19</c:v>
                </c:pt>
                <c:pt idx="55">
                  <c:v>19</c:v>
                </c:pt>
                <c:pt idx="56">
                  <c:v>19</c:v>
                </c:pt>
              </c:numCache>
            </c:numRef>
          </c:xVal>
          <c:yVal>
            <c:numRef>
              <c:f>ALD_useful!$F$2:$F$58</c:f>
              <c:numCache>
                <c:formatCode>General</c:formatCode>
                <c:ptCount val="57"/>
                <c:pt idx="0">
                  <c:v>#N/A</c:v>
                </c:pt>
                <c:pt idx="1">
                  <c:v>3</c:v>
                </c:pt>
                <c:pt idx="2">
                  <c:v>#N/A</c:v>
                </c:pt>
                <c:pt idx="3">
                  <c:v>#N/A</c:v>
                </c:pt>
                <c:pt idx="4">
                  <c:v>5</c:v>
                </c:pt>
                <c:pt idx="5">
                  <c:v>#N/A</c:v>
                </c:pt>
                <c:pt idx="6">
                  <c:v>#N/A</c:v>
                </c:pt>
                <c:pt idx="7">
                  <c:v>3</c:v>
                </c:pt>
                <c:pt idx="8">
                  <c:v>#N/A</c:v>
                </c:pt>
                <c:pt idx="9">
                  <c:v>#N/A</c:v>
                </c:pt>
                <c:pt idx="10">
                  <c:v>5</c:v>
                </c:pt>
                <c:pt idx="11">
                  <c:v>#N/A</c:v>
                </c:pt>
                <c:pt idx="12">
                  <c:v>#N/A</c:v>
                </c:pt>
                <c:pt idx="13">
                  <c:v>5</c:v>
                </c:pt>
                <c:pt idx="14">
                  <c:v>#N/A</c:v>
                </c:pt>
                <c:pt idx="15">
                  <c:v>#N/A</c:v>
                </c:pt>
                <c:pt idx="16">
                  <c:v>5</c:v>
                </c:pt>
                <c:pt idx="17">
                  <c:v>#N/A</c:v>
                </c:pt>
                <c:pt idx="18">
                  <c:v>#N/A</c:v>
                </c:pt>
                <c:pt idx="19">
                  <c:v>4</c:v>
                </c:pt>
                <c:pt idx="20">
                  <c:v>#N/A</c:v>
                </c:pt>
                <c:pt idx="21">
                  <c:v>#N/A</c:v>
                </c:pt>
                <c:pt idx="22">
                  <c:v>1</c:v>
                </c:pt>
                <c:pt idx="23">
                  <c:v>#N/A</c:v>
                </c:pt>
                <c:pt idx="24">
                  <c:v>#N/A</c:v>
                </c:pt>
                <c:pt idx="25">
                  <c:v>4</c:v>
                </c:pt>
                <c:pt idx="26">
                  <c:v>#N/A</c:v>
                </c:pt>
                <c:pt idx="27">
                  <c:v>#N/A</c:v>
                </c:pt>
                <c:pt idx="28">
                  <c:v>2</c:v>
                </c:pt>
                <c:pt idx="29">
                  <c:v>#N/A</c:v>
                </c:pt>
                <c:pt idx="30">
                  <c:v>#N/A</c:v>
                </c:pt>
                <c:pt idx="31">
                  <c:v>3</c:v>
                </c:pt>
                <c:pt idx="32">
                  <c:v>#N/A</c:v>
                </c:pt>
                <c:pt idx="33">
                  <c:v>#N/A</c:v>
                </c:pt>
                <c:pt idx="34">
                  <c:v>3</c:v>
                </c:pt>
                <c:pt idx="35">
                  <c:v>#N/A</c:v>
                </c:pt>
                <c:pt idx="36">
                  <c:v>#N/A</c:v>
                </c:pt>
                <c:pt idx="37">
                  <c:v>4</c:v>
                </c:pt>
                <c:pt idx="38">
                  <c:v>#N/A</c:v>
                </c:pt>
                <c:pt idx="39">
                  <c:v>#N/A</c:v>
                </c:pt>
                <c:pt idx="40">
                  <c:v>4</c:v>
                </c:pt>
                <c:pt idx="41">
                  <c:v>#N/A</c:v>
                </c:pt>
                <c:pt idx="42">
                  <c:v>#N/A</c:v>
                </c:pt>
                <c:pt idx="43">
                  <c:v>5</c:v>
                </c:pt>
                <c:pt idx="44">
                  <c:v>#N/A</c:v>
                </c:pt>
                <c:pt idx="45">
                  <c:v>#N/A</c:v>
                </c:pt>
                <c:pt idx="46">
                  <c:v>2</c:v>
                </c:pt>
                <c:pt idx="47">
                  <c:v>#N/A</c:v>
                </c:pt>
                <c:pt idx="48">
                  <c:v>#N/A</c:v>
                </c:pt>
                <c:pt idx="49">
                  <c:v>3</c:v>
                </c:pt>
                <c:pt idx="50">
                  <c:v>#N/A</c:v>
                </c:pt>
                <c:pt idx="51">
                  <c:v>#N/A</c:v>
                </c:pt>
                <c:pt idx="52">
                  <c:v>3</c:v>
                </c:pt>
                <c:pt idx="53">
                  <c:v>#N/A</c:v>
                </c:pt>
                <c:pt idx="54">
                  <c:v>#N/A</c:v>
                </c:pt>
                <c:pt idx="55">
                  <c:v>3</c:v>
                </c:pt>
                <c:pt idx="56">
                  <c:v>#N/A</c:v>
                </c:pt>
              </c:numCache>
            </c:numRef>
          </c:yVal>
          <c:smooth val="0"/>
          <c:extLst>
            <c:ext xmlns:c16="http://schemas.microsoft.com/office/drawing/2014/chart" uri="{C3380CC4-5D6E-409C-BE32-E72D297353CC}">
              <c16:uniqueId val="{00000005-2703-4E0E-8494-06FB1FA7CB78}"/>
            </c:ext>
          </c:extLst>
        </c:ser>
        <c:ser>
          <c:idx val="2"/>
          <c:order val="2"/>
          <c:tx>
            <c:v>Annotator 3</c:v>
          </c:tx>
          <c:spPr>
            <a:ln w="25400" cap="rnd">
              <a:noFill/>
              <a:round/>
            </a:ln>
            <a:effectLst/>
          </c:spPr>
          <c:marker>
            <c:symbol val="x"/>
            <c:size val="7"/>
            <c:spPr>
              <a:noFill/>
              <a:ln w="9525">
                <a:solidFill>
                  <a:schemeClr val="accent3"/>
                </a:solidFill>
              </a:ln>
              <a:effectLst/>
            </c:spPr>
          </c:marker>
          <c:xVal>
            <c:numRef>
              <c:f>ALD_useful!$A$2:$A$58</c:f>
              <c:numCache>
                <c:formatCode>General</c:formatCode>
                <c:ptCount val="57"/>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pt idx="42">
                  <c:v>15</c:v>
                </c:pt>
                <c:pt idx="43">
                  <c:v>15</c:v>
                </c:pt>
                <c:pt idx="44">
                  <c:v>15</c:v>
                </c:pt>
                <c:pt idx="45">
                  <c:v>16</c:v>
                </c:pt>
                <c:pt idx="46">
                  <c:v>16</c:v>
                </c:pt>
                <c:pt idx="47">
                  <c:v>16</c:v>
                </c:pt>
                <c:pt idx="48">
                  <c:v>17</c:v>
                </c:pt>
                <c:pt idx="49">
                  <c:v>17</c:v>
                </c:pt>
                <c:pt idx="50">
                  <c:v>17</c:v>
                </c:pt>
                <c:pt idx="51">
                  <c:v>18</c:v>
                </c:pt>
                <c:pt idx="52">
                  <c:v>18</c:v>
                </c:pt>
                <c:pt idx="53">
                  <c:v>18</c:v>
                </c:pt>
                <c:pt idx="54">
                  <c:v>19</c:v>
                </c:pt>
                <c:pt idx="55">
                  <c:v>19</c:v>
                </c:pt>
                <c:pt idx="56">
                  <c:v>19</c:v>
                </c:pt>
              </c:numCache>
            </c:numRef>
          </c:xVal>
          <c:yVal>
            <c:numRef>
              <c:f>ALD_useful!$G$2:$G$58</c:f>
              <c:numCache>
                <c:formatCode>General</c:formatCode>
                <c:ptCount val="57"/>
                <c:pt idx="0">
                  <c:v>#N/A</c:v>
                </c:pt>
                <c:pt idx="1">
                  <c:v>#N/A</c:v>
                </c:pt>
                <c:pt idx="2">
                  <c:v>5</c:v>
                </c:pt>
                <c:pt idx="3">
                  <c:v>#N/A</c:v>
                </c:pt>
                <c:pt idx="4">
                  <c:v>#N/A</c:v>
                </c:pt>
                <c:pt idx="5">
                  <c:v>2</c:v>
                </c:pt>
                <c:pt idx="6">
                  <c:v>#N/A</c:v>
                </c:pt>
                <c:pt idx="7">
                  <c:v>#N/A</c:v>
                </c:pt>
                <c:pt idx="8">
                  <c:v>5</c:v>
                </c:pt>
                <c:pt idx="9">
                  <c:v>#N/A</c:v>
                </c:pt>
                <c:pt idx="10">
                  <c:v>#N/A</c:v>
                </c:pt>
                <c:pt idx="11">
                  <c:v>5</c:v>
                </c:pt>
                <c:pt idx="12">
                  <c:v>#N/A</c:v>
                </c:pt>
                <c:pt idx="13">
                  <c:v>#N/A</c:v>
                </c:pt>
                <c:pt idx="14">
                  <c:v>5</c:v>
                </c:pt>
                <c:pt idx="15">
                  <c:v>#N/A</c:v>
                </c:pt>
                <c:pt idx="16">
                  <c:v>#N/A</c:v>
                </c:pt>
                <c:pt idx="17">
                  <c:v>5</c:v>
                </c:pt>
                <c:pt idx="18">
                  <c:v>#N/A</c:v>
                </c:pt>
                <c:pt idx="19">
                  <c:v>#N/A</c:v>
                </c:pt>
                <c:pt idx="20">
                  <c:v>3</c:v>
                </c:pt>
                <c:pt idx="21">
                  <c:v>#N/A</c:v>
                </c:pt>
                <c:pt idx="22">
                  <c:v>#N/A</c:v>
                </c:pt>
                <c:pt idx="23">
                  <c:v>4</c:v>
                </c:pt>
                <c:pt idx="24">
                  <c:v>#N/A</c:v>
                </c:pt>
                <c:pt idx="25">
                  <c:v>#N/A</c:v>
                </c:pt>
                <c:pt idx="26">
                  <c:v>5</c:v>
                </c:pt>
                <c:pt idx="27">
                  <c:v>#N/A</c:v>
                </c:pt>
                <c:pt idx="28">
                  <c:v>#N/A</c:v>
                </c:pt>
                <c:pt idx="29">
                  <c:v>2</c:v>
                </c:pt>
                <c:pt idx="30">
                  <c:v>#N/A</c:v>
                </c:pt>
                <c:pt idx="31">
                  <c:v>#N/A</c:v>
                </c:pt>
                <c:pt idx="32">
                  <c:v>5</c:v>
                </c:pt>
                <c:pt idx="33">
                  <c:v>#N/A</c:v>
                </c:pt>
                <c:pt idx="34">
                  <c:v>#N/A</c:v>
                </c:pt>
                <c:pt idx="35">
                  <c:v>3</c:v>
                </c:pt>
                <c:pt idx="36">
                  <c:v>#N/A</c:v>
                </c:pt>
                <c:pt idx="37">
                  <c:v>#N/A</c:v>
                </c:pt>
                <c:pt idx="38">
                  <c:v>5</c:v>
                </c:pt>
                <c:pt idx="39">
                  <c:v>#N/A</c:v>
                </c:pt>
                <c:pt idx="40">
                  <c:v>#N/A</c:v>
                </c:pt>
                <c:pt idx="41">
                  <c:v>5</c:v>
                </c:pt>
                <c:pt idx="42">
                  <c:v>#N/A</c:v>
                </c:pt>
                <c:pt idx="43">
                  <c:v>#N/A</c:v>
                </c:pt>
                <c:pt idx="44">
                  <c:v>3</c:v>
                </c:pt>
                <c:pt idx="45">
                  <c:v>#N/A</c:v>
                </c:pt>
                <c:pt idx="46">
                  <c:v>#N/A</c:v>
                </c:pt>
                <c:pt idx="47">
                  <c:v>2</c:v>
                </c:pt>
                <c:pt idx="48">
                  <c:v>#N/A</c:v>
                </c:pt>
                <c:pt idx="49">
                  <c:v>#N/A</c:v>
                </c:pt>
                <c:pt idx="50">
                  <c:v>3</c:v>
                </c:pt>
                <c:pt idx="51">
                  <c:v>#N/A</c:v>
                </c:pt>
                <c:pt idx="52">
                  <c:v>#N/A</c:v>
                </c:pt>
                <c:pt idx="53">
                  <c:v>5</c:v>
                </c:pt>
                <c:pt idx="54">
                  <c:v>#N/A</c:v>
                </c:pt>
                <c:pt idx="55">
                  <c:v>#N/A</c:v>
                </c:pt>
                <c:pt idx="56">
                  <c:v>5</c:v>
                </c:pt>
              </c:numCache>
            </c:numRef>
          </c:yVal>
          <c:smooth val="0"/>
          <c:extLst>
            <c:ext xmlns:c16="http://schemas.microsoft.com/office/drawing/2014/chart" uri="{C3380CC4-5D6E-409C-BE32-E72D297353CC}">
              <c16:uniqueId val="{00000006-2703-4E0E-8494-06FB1FA7CB78}"/>
            </c:ext>
          </c:extLst>
        </c:ser>
        <c:dLbls>
          <c:showLegendKey val="0"/>
          <c:showVal val="0"/>
          <c:showCatName val="0"/>
          <c:showSerName val="0"/>
          <c:showPercent val="0"/>
          <c:showBubbleSize val="0"/>
        </c:dLbls>
        <c:axId val="1362205903"/>
        <c:axId val="1362203503"/>
      </c:scatterChart>
      <c:valAx>
        <c:axId val="1362205903"/>
        <c:scaling>
          <c:orientation val="minMax"/>
          <c:max val="19"/>
          <c:min val="1"/>
        </c:scaling>
        <c:delete val="0"/>
        <c:axPos val="b"/>
        <c:majorGridlines>
          <c:spPr>
            <a:ln w="9525" cap="flat" cmpd="sng" algn="ctr">
              <a:solidFill>
                <a:schemeClr val="tx1">
                  <a:lumMod val="15000"/>
                  <a:lumOff val="85000"/>
                </a:schemeClr>
              </a:solidFill>
              <a:round/>
            </a:ln>
            <a:effectLst/>
          </c:spPr>
        </c:majorGridlines>
        <c:numFmt formatCode="&quot;ALD Q&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de-DE"/>
          </a:p>
        </c:txPr>
        <c:crossAx val="1362203503"/>
        <c:crosses val="autoZero"/>
        <c:crossBetween val="midCat"/>
        <c:majorUnit val="1"/>
      </c:valAx>
      <c:valAx>
        <c:axId val="136220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6220590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Annotator 1</c:v>
          </c:tx>
          <c:spPr>
            <a:ln w="25400" cap="rnd">
              <a:noFill/>
              <a:round/>
            </a:ln>
            <a:effectLst/>
          </c:spPr>
          <c:marker>
            <c:symbol val="circle"/>
            <c:size val="5"/>
            <c:spPr>
              <a:solidFill>
                <a:schemeClr val="accent1"/>
              </a:solidFill>
              <a:ln w="9525">
                <a:solidFill>
                  <a:schemeClr val="accent1"/>
                </a:solidFill>
              </a:ln>
              <a:effectLst/>
            </c:spPr>
          </c:marker>
          <c:xVal>
            <c:numRef>
              <c:f>ALE_useful!$A$2:$A$43</c:f>
              <c:numCache>
                <c:formatCode>General</c:formatCode>
                <c:ptCount val="42"/>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numCache>
            </c:numRef>
          </c:xVal>
          <c:yVal>
            <c:numRef>
              <c:f>ALE_useful!$E$2:$E$43</c:f>
              <c:numCache>
                <c:formatCode>General</c:formatCode>
                <c:ptCount val="42"/>
                <c:pt idx="0">
                  <c:v>5</c:v>
                </c:pt>
                <c:pt idx="1">
                  <c:v>#N/A</c:v>
                </c:pt>
                <c:pt idx="2">
                  <c:v>#N/A</c:v>
                </c:pt>
                <c:pt idx="3">
                  <c:v>5</c:v>
                </c:pt>
                <c:pt idx="4">
                  <c:v>#N/A</c:v>
                </c:pt>
                <c:pt idx="5">
                  <c:v>#N/A</c:v>
                </c:pt>
                <c:pt idx="6">
                  <c:v>5</c:v>
                </c:pt>
                <c:pt idx="7">
                  <c:v>#N/A</c:v>
                </c:pt>
                <c:pt idx="8">
                  <c:v>#N/A</c:v>
                </c:pt>
                <c:pt idx="9">
                  <c:v>5</c:v>
                </c:pt>
                <c:pt idx="10">
                  <c:v>#N/A</c:v>
                </c:pt>
                <c:pt idx="11">
                  <c:v>#N/A</c:v>
                </c:pt>
                <c:pt idx="12">
                  <c:v>5</c:v>
                </c:pt>
                <c:pt idx="13">
                  <c:v>#N/A</c:v>
                </c:pt>
                <c:pt idx="14">
                  <c:v>#N/A</c:v>
                </c:pt>
                <c:pt idx="15">
                  <c:v>5</c:v>
                </c:pt>
                <c:pt idx="16">
                  <c:v>#N/A</c:v>
                </c:pt>
                <c:pt idx="17">
                  <c:v>#N/A</c:v>
                </c:pt>
                <c:pt idx="18">
                  <c:v>5</c:v>
                </c:pt>
                <c:pt idx="19">
                  <c:v>#N/A</c:v>
                </c:pt>
                <c:pt idx="20">
                  <c:v>#N/A</c:v>
                </c:pt>
                <c:pt idx="21">
                  <c:v>5</c:v>
                </c:pt>
                <c:pt idx="22">
                  <c:v>#N/A</c:v>
                </c:pt>
                <c:pt idx="23">
                  <c:v>#N/A</c:v>
                </c:pt>
                <c:pt idx="24">
                  <c:v>5</c:v>
                </c:pt>
                <c:pt idx="25">
                  <c:v>#N/A</c:v>
                </c:pt>
                <c:pt idx="26">
                  <c:v>#N/A</c:v>
                </c:pt>
                <c:pt idx="27">
                  <c:v>4</c:v>
                </c:pt>
                <c:pt idx="28">
                  <c:v>#N/A</c:v>
                </c:pt>
                <c:pt idx="29">
                  <c:v>#N/A</c:v>
                </c:pt>
                <c:pt idx="30">
                  <c:v>5</c:v>
                </c:pt>
                <c:pt idx="31">
                  <c:v>#N/A</c:v>
                </c:pt>
                <c:pt idx="32">
                  <c:v>#N/A</c:v>
                </c:pt>
                <c:pt idx="33">
                  <c:v>4</c:v>
                </c:pt>
                <c:pt idx="34">
                  <c:v>#N/A</c:v>
                </c:pt>
                <c:pt idx="35">
                  <c:v>#N/A</c:v>
                </c:pt>
                <c:pt idx="36">
                  <c:v>5</c:v>
                </c:pt>
                <c:pt idx="37">
                  <c:v>#N/A</c:v>
                </c:pt>
                <c:pt idx="38">
                  <c:v>#N/A</c:v>
                </c:pt>
                <c:pt idx="39">
                  <c:v>5</c:v>
                </c:pt>
                <c:pt idx="40">
                  <c:v>#N/A</c:v>
                </c:pt>
                <c:pt idx="41">
                  <c:v>#N/A</c:v>
                </c:pt>
              </c:numCache>
            </c:numRef>
          </c:yVal>
          <c:smooth val="0"/>
          <c:extLst>
            <c:ext xmlns:c16="http://schemas.microsoft.com/office/drawing/2014/chart" uri="{C3380CC4-5D6E-409C-BE32-E72D297353CC}">
              <c16:uniqueId val="{00000004-4BCC-420C-9A4B-D7153324C16F}"/>
            </c:ext>
          </c:extLst>
        </c:ser>
        <c:ser>
          <c:idx val="1"/>
          <c:order val="1"/>
          <c:tx>
            <c:v>Annotator 2</c:v>
          </c:tx>
          <c:spPr>
            <a:ln w="25400" cap="rnd">
              <a:noFill/>
              <a:round/>
            </a:ln>
            <a:effectLst/>
          </c:spPr>
          <c:marker>
            <c:symbol val="dash"/>
            <c:size val="8"/>
            <c:spPr>
              <a:solidFill>
                <a:schemeClr val="accent2"/>
              </a:solidFill>
              <a:ln w="9525">
                <a:solidFill>
                  <a:schemeClr val="accent2"/>
                </a:solidFill>
              </a:ln>
              <a:effectLst/>
            </c:spPr>
          </c:marker>
          <c:xVal>
            <c:numRef>
              <c:f>ALE_useful!$A$2:$A$43</c:f>
              <c:numCache>
                <c:formatCode>General</c:formatCode>
                <c:ptCount val="42"/>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numCache>
            </c:numRef>
          </c:xVal>
          <c:yVal>
            <c:numRef>
              <c:f>ALE_useful!$F$2:$F$43</c:f>
              <c:numCache>
                <c:formatCode>General</c:formatCode>
                <c:ptCount val="42"/>
                <c:pt idx="0">
                  <c:v>#N/A</c:v>
                </c:pt>
                <c:pt idx="1">
                  <c:v>3</c:v>
                </c:pt>
                <c:pt idx="2">
                  <c:v>#N/A</c:v>
                </c:pt>
                <c:pt idx="3">
                  <c:v>#N/A</c:v>
                </c:pt>
                <c:pt idx="4">
                  <c:v>4</c:v>
                </c:pt>
                <c:pt idx="5">
                  <c:v>#N/A</c:v>
                </c:pt>
                <c:pt idx="6">
                  <c:v>#N/A</c:v>
                </c:pt>
                <c:pt idx="7">
                  <c:v>3</c:v>
                </c:pt>
                <c:pt idx="8">
                  <c:v>#N/A</c:v>
                </c:pt>
                <c:pt idx="9">
                  <c:v>#N/A</c:v>
                </c:pt>
                <c:pt idx="10">
                  <c:v>3</c:v>
                </c:pt>
                <c:pt idx="11">
                  <c:v>#N/A</c:v>
                </c:pt>
                <c:pt idx="12">
                  <c:v>#N/A</c:v>
                </c:pt>
                <c:pt idx="13">
                  <c:v>4</c:v>
                </c:pt>
                <c:pt idx="14">
                  <c:v>#N/A</c:v>
                </c:pt>
                <c:pt idx="15">
                  <c:v>#N/A</c:v>
                </c:pt>
                <c:pt idx="16">
                  <c:v>3</c:v>
                </c:pt>
                <c:pt idx="17">
                  <c:v>#N/A</c:v>
                </c:pt>
                <c:pt idx="18">
                  <c:v>#N/A</c:v>
                </c:pt>
                <c:pt idx="19">
                  <c:v>4</c:v>
                </c:pt>
                <c:pt idx="20">
                  <c:v>#N/A</c:v>
                </c:pt>
                <c:pt idx="21">
                  <c:v>#N/A</c:v>
                </c:pt>
                <c:pt idx="22">
                  <c:v>5</c:v>
                </c:pt>
                <c:pt idx="23">
                  <c:v>#N/A</c:v>
                </c:pt>
                <c:pt idx="24">
                  <c:v>#N/A</c:v>
                </c:pt>
                <c:pt idx="25">
                  <c:v>3</c:v>
                </c:pt>
                <c:pt idx="26">
                  <c:v>#N/A</c:v>
                </c:pt>
                <c:pt idx="27">
                  <c:v>#N/A</c:v>
                </c:pt>
                <c:pt idx="28">
                  <c:v>3</c:v>
                </c:pt>
                <c:pt idx="29">
                  <c:v>#N/A</c:v>
                </c:pt>
                <c:pt idx="30">
                  <c:v>#N/A</c:v>
                </c:pt>
                <c:pt idx="31">
                  <c:v>2</c:v>
                </c:pt>
                <c:pt idx="32">
                  <c:v>#N/A</c:v>
                </c:pt>
                <c:pt idx="33">
                  <c:v>#N/A</c:v>
                </c:pt>
                <c:pt idx="34">
                  <c:v>3</c:v>
                </c:pt>
                <c:pt idx="35">
                  <c:v>#N/A</c:v>
                </c:pt>
                <c:pt idx="36">
                  <c:v>#N/A</c:v>
                </c:pt>
                <c:pt idx="37">
                  <c:v>2</c:v>
                </c:pt>
                <c:pt idx="38">
                  <c:v>#N/A</c:v>
                </c:pt>
                <c:pt idx="39">
                  <c:v>#N/A</c:v>
                </c:pt>
                <c:pt idx="40">
                  <c:v>1</c:v>
                </c:pt>
                <c:pt idx="41">
                  <c:v>#N/A</c:v>
                </c:pt>
              </c:numCache>
            </c:numRef>
          </c:yVal>
          <c:smooth val="0"/>
          <c:extLst>
            <c:ext xmlns:c16="http://schemas.microsoft.com/office/drawing/2014/chart" uri="{C3380CC4-5D6E-409C-BE32-E72D297353CC}">
              <c16:uniqueId val="{00000005-4BCC-420C-9A4B-D7153324C16F}"/>
            </c:ext>
          </c:extLst>
        </c:ser>
        <c:ser>
          <c:idx val="2"/>
          <c:order val="2"/>
          <c:tx>
            <c:v>Annotator 3</c:v>
          </c:tx>
          <c:spPr>
            <a:ln w="25400" cap="rnd">
              <a:noFill/>
              <a:round/>
            </a:ln>
            <a:effectLst/>
          </c:spPr>
          <c:marker>
            <c:symbol val="x"/>
            <c:size val="7"/>
            <c:spPr>
              <a:noFill/>
              <a:ln w="9525">
                <a:solidFill>
                  <a:schemeClr val="accent3"/>
                </a:solidFill>
              </a:ln>
              <a:effectLst/>
            </c:spPr>
          </c:marker>
          <c:xVal>
            <c:numRef>
              <c:f>ALE_useful!$A$2:$A$43</c:f>
              <c:numCache>
                <c:formatCode>General</c:formatCode>
                <c:ptCount val="42"/>
                <c:pt idx="0">
                  <c:v>1</c:v>
                </c:pt>
                <c:pt idx="1">
                  <c:v>1</c:v>
                </c:pt>
                <c:pt idx="2">
                  <c:v>1</c:v>
                </c:pt>
                <c:pt idx="3">
                  <c:v>2</c:v>
                </c:pt>
                <c:pt idx="4">
                  <c:v>2</c:v>
                </c:pt>
                <c:pt idx="5">
                  <c:v>2</c:v>
                </c:pt>
                <c:pt idx="6">
                  <c:v>3</c:v>
                </c:pt>
                <c:pt idx="7">
                  <c:v>3</c:v>
                </c:pt>
                <c:pt idx="8">
                  <c:v>3</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9</c:v>
                </c:pt>
                <c:pt idx="27">
                  <c:v>10</c:v>
                </c:pt>
                <c:pt idx="28">
                  <c:v>10</c:v>
                </c:pt>
                <c:pt idx="29">
                  <c:v>10</c:v>
                </c:pt>
                <c:pt idx="30">
                  <c:v>11</c:v>
                </c:pt>
                <c:pt idx="31">
                  <c:v>11</c:v>
                </c:pt>
                <c:pt idx="32">
                  <c:v>11</c:v>
                </c:pt>
                <c:pt idx="33">
                  <c:v>12</c:v>
                </c:pt>
                <c:pt idx="34">
                  <c:v>12</c:v>
                </c:pt>
                <c:pt idx="35">
                  <c:v>12</c:v>
                </c:pt>
                <c:pt idx="36">
                  <c:v>13</c:v>
                </c:pt>
                <c:pt idx="37">
                  <c:v>13</c:v>
                </c:pt>
                <c:pt idx="38">
                  <c:v>13</c:v>
                </c:pt>
                <c:pt idx="39">
                  <c:v>14</c:v>
                </c:pt>
                <c:pt idx="40">
                  <c:v>14</c:v>
                </c:pt>
                <c:pt idx="41">
                  <c:v>14</c:v>
                </c:pt>
              </c:numCache>
            </c:numRef>
          </c:xVal>
          <c:yVal>
            <c:numRef>
              <c:f>ALE_useful!$G$2:$G$43</c:f>
              <c:numCache>
                <c:formatCode>General</c:formatCode>
                <c:ptCount val="42"/>
                <c:pt idx="0">
                  <c:v>#N/A</c:v>
                </c:pt>
                <c:pt idx="1">
                  <c:v>#N/A</c:v>
                </c:pt>
                <c:pt idx="2">
                  <c:v>4</c:v>
                </c:pt>
                <c:pt idx="3">
                  <c:v>#N/A</c:v>
                </c:pt>
                <c:pt idx="4">
                  <c:v>#N/A</c:v>
                </c:pt>
                <c:pt idx="5">
                  <c:v>3</c:v>
                </c:pt>
                <c:pt idx="6">
                  <c:v>#N/A</c:v>
                </c:pt>
                <c:pt idx="7">
                  <c:v>#N/A</c:v>
                </c:pt>
                <c:pt idx="8">
                  <c:v>4</c:v>
                </c:pt>
                <c:pt idx="9">
                  <c:v>#N/A</c:v>
                </c:pt>
                <c:pt idx="10">
                  <c:v>#N/A</c:v>
                </c:pt>
                <c:pt idx="11">
                  <c:v>5</c:v>
                </c:pt>
                <c:pt idx="12">
                  <c:v>#N/A</c:v>
                </c:pt>
                <c:pt idx="13">
                  <c:v>#N/A</c:v>
                </c:pt>
                <c:pt idx="14">
                  <c:v>5</c:v>
                </c:pt>
                <c:pt idx="15">
                  <c:v>#N/A</c:v>
                </c:pt>
                <c:pt idx="16">
                  <c:v>#N/A</c:v>
                </c:pt>
                <c:pt idx="17">
                  <c:v>4</c:v>
                </c:pt>
                <c:pt idx="18">
                  <c:v>#N/A</c:v>
                </c:pt>
                <c:pt idx="19">
                  <c:v>#N/A</c:v>
                </c:pt>
                <c:pt idx="20">
                  <c:v>4</c:v>
                </c:pt>
                <c:pt idx="21">
                  <c:v>#N/A</c:v>
                </c:pt>
                <c:pt idx="22">
                  <c:v>#N/A</c:v>
                </c:pt>
                <c:pt idx="23">
                  <c:v>5</c:v>
                </c:pt>
                <c:pt idx="24">
                  <c:v>#N/A</c:v>
                </c:pt>
                <c:pt idx="25">
                  <c:v>#N/A</c:v>
                </c:pt>
                <c:pt idx="26">
                  <c:v>5</c:v>
                </c:pt>
                <c:pt idx="27">
                  <c:v>#N/A</c:v>
                </c:pt>
                <c:pt idx="28">
                  <c:v>#N/A</c:v>
                </c:pt>
                <c:pt idx="29">
                  <c:v>5</c:v>
                </c:pt>
                <c:pt idx="30">
                  <c:v>#N/A</c:v>
                </c:pt>
                <c:pt idx="31">
                  <c:v>#N/A</c:v>
                </c:pt>
                <c:pt idx="32">
                  <c:v>5</c:v>
                </c:pt>
                <c:pt idx="33">
                  <c:v>#N/A</c:v>
                </c:pt>
                <c:pt idx="34">
                  <c:v>#N/A</c:v>
                </c:pt>
                <c:pt idx="35">
                  <c:v>2</c:v>
                </c:pt>
                <c:pt idx="36">
                  <c:v>#N/A</c:v>
                </c:pt>
                <c:pt idx="37">
                  <c:v>#N/A</c:v>
                </c:pt>
                <c:pt idx="38">
                  <c:v>1</c:v>
                </c:pt>
                <c:pt idx="39">
                  <c:v>#N/A</c:v>
                </c:pt>
                <c:pt idx="40">
                  <c:v>#N/A</c:v>
                </c:pt>
                <c:pt idx="41">
                  <c:v>4</c:v>
                </c:pt>
              </c:numCache>
            </c:numRef>
          </c:yVal>
          <c:smooth val="0"/>
          <c:extLst>
            <c:ext xmlns:c16="http://schemas.microsoft.com/office/drawing/2014/chart" uri="{C3380CC4-5D6E-409C-BE32-E72D297353CC}">
              <c16:uniqueId val="{00000006-4BCC-420C-9A4B-D7153324C16F}"/>
            </c:ext>
          </c:extLst>
        </c:ser>
        <c:dLbls>
          <c:showLegendKey val="0"/>
          <c:showVal val="0"/>
          <c:showCatName val="0"/>
          <c:showSerName val="0"/>
          <c:showPercent val="0"/>
          <c:showBubbleSize val="0"/>
        </c:dLbls>
        <c:axId val="1461239631"/>
        <c:axId val="1461242031"/>
      </c:scatterChart>
      <c:valAx>
        <c:axId val="1461239631"/>
        <c:scaling>
          <c:orientation val="minMax"/>
          <c:max val="14"/>
          <c:min val="1"/>
        </c:scaling>
        <c:delete val="0"/>
        <c:axPos val="b"/>
        <c:majorGridlines>
          <c:spPr>
            <a:ln w="9525" cap="flat" cmpd="sng" algn="ctr">
              <a:solidFill>
                <a:schemeClr val="tx1">
                  <a:lumMod val="15000"/>
                  <a:lumOff val="85000"/>
                </a:schemeClr>
              </a:solidFill>
              <a:round/>
            </a:ln>
            <a:effectLst/>
          </c:spPr>
        </c:majorGridlines>
        <c:numFmt formatCode="&quot;ALE Q&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de-DE"/>
          </a:p>
        </c:txPr>
        <c:crossAx val="1461242031"/>
        <c:crosses val="autoZero"/>
        <c:crossBetween val="midCat"/>
        <c:majorUnit val="1"/>
      </c:valAx>
      <c:valAx>
        <c:axId val="146124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6123963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428625</xdr:colOff>
      <xdr:row>3</xdr:row>
      <xdr:rowOff>19050</xdr:rowOff>
    </xdr:from>
    <xdr:to>
      <xdr:col>23</xdr:col>
      <xdr:colOff>419100</xdr:colOff>
      <xdr:row>15</xdr:row>
      <xdr:rowOff>9525</xdr:rowOff>
    </xdr:to>
    <xdr:graphicFrame macro="">
      <xdr:nvGraphicFramePr>
        <xdr:cNvPr id="2" name="Chart 1">
          <a:extLst>
            <a:ext uri="{FF2B5EF4-FFF2-40B4-BE49-F238E27FC236}">
              <a16:creationId xmlns:a16="http://schemas.microsoft.com/office/drawing/2014/main" id="{4F7DF69B-A677-4688-B80D-84AAD0146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552450</xdr:colOff>
      <xdr:row>4</xdr:row>
      <xdr:rowOff>19050</xdr:rowOff>
    </xdr:from>
    <xdr:to>
      <xdr:col>18</xdr:col>
      <xdr:colOff>552450</xdr:colOff>
      <xdr:row>16</xdr:row>
      <xdr:rowOff>28575</xdr:rowOff>
    </xdr:to>
    <xdr:graphicFrame macro="">
      <xdr:nvGraphicFramePr>
        <xdr:cNvPr id="2" name="Chart 1">
          <a:extLst>
            <a:ext uri="{FF2B5EF4-FFF2-40B4-BE49-F238E27FC236}">
              <a16:creationId xmlns:a16="http://schemas.microsoft.com/office/drawing/2014/main" id="{06D2D757-995A-BF8E-C61B-BEAF2FE81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123825</xdr:colOff>
      <xdr:row>7</xdr:row>
      <xdr:rowOff>133350</xdr:rowOff>
    </xdr:from>
    <xdr:to>
      <xdr:col>23</xdr:col>
      <xdr:colOff>104775</xdr:colOff>
      <xdr:row>19</xdr:row>
      <xdr:rowOff>142875</xdr:rowOff>
    </xdr:to>
    <xdr:graphicFrame macro="">
      <xdr:nvGraphicFramePr>
        <xdr:cNvPr id="2" name="Chart 1">
          <a:extLst>
            <a:ext uri="{FF2B5EF4-FFF2-40B4-BE49-F238E27FC236}">
              <a16:creationId xmlns:a16="http://schemas.microsoft.com/office/drawing/2014/main" id="{67F22E95-80D5-00A6-80F0-1FD0E4A1B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66675</xdr:colOff>
      <xdr:row>4</xdr:row>
      <xdr:rowOff>33337</xdr:rowOff>
    </xdr:from>
    <xdr:to>
      <xdr:col>20</xdr:col>
      <xdr:colOff>76199</xdr:colOff>
      <xdr:row>16</xdr:row>
      <xdr:rowOff>9525</xdr:rowOff>
    </xdr:to>
    <xdr:graphicFrame macro="">
      <xdr:nvGraphicFramePr>
        <xdr:cNvPr id="2" name="Chart 1">
          <a:extLst>
            <a:ext uri="{FF2B5EF4-FFF2-40B4-BE49-F238E27FC236}">
              <a16:creationId xmlns:a16="http://schemas.microsoft.com/office/drawing/2014/main" id="{EB17CC03-306D-6C19-5314-DC5334A47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4"/>
  <sheetViews>
    <sheetView workbookViewId="0"/>
  </sheetViews>
  <sheetFormatPr defaultRowHeight="15" x14ac:dyDescent="0.25"/>
  <sheetData>
    <row r="1" spans="1:10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row>
    <row r="2" spans="1:106" x14ac:dyDescent="0.25">
      <c r="A2" t="s">
        <v>106</v>
      </c>
      <c r="B2" t="s">
        <v>107</v>
      </c>
      <c r="C2">
        <v>5</v>
      </c>
      <c r="D2">
        <v>5</v>
      </c>
      <c r="F2">
        <v>5</v>
      </c>
      <c r="G2">
        <v>5</v>
      </c>
      <c r="I2">
        <v>5</v>
      </c>
      <c r="J2">
        <v>5</v>
      </c>
      <c r="L2">
        <v>5</v>
      </c>
      <c r="M2">
        <v>5</v>
      </c>
      <c r="O2">
        <v>4</v>
      </c>
      <c r="P2">
        <v>5</v>
      </c>
      <c r="R2">
        <v>5</v>
      </c>
      <c r="S2">
        <v>5</v>
      </c>
      <c r="U2">
        <v>5</v>
      </c>
      <c r="V2">
        <v>5</v>
      </c>
      <c r="X2">
        <v>4</v>
      </c>
      <c r="Y2">
        <v>3</v>
      </c>
      <c r="AA2">
        <v>5</v>
      </c>
      <c r="AB2">
        <v>5</v>
      </c>
      <c r="AD2">
        <v>5</v>
      </c>
      <c r="AE2">
        <v>5</v>
      </c>
      <c r="AG2">
        <v>5</v>
      </c>
      <c r="AH2">
        <v>5</v>
      </c>
      <c r="AJ2">
        <v>5</v>
      </c>
      <c r="AK2">
        <v>5</v>
      </c>
      <c r="AM2">
        <v>5</v>
      </c>
      <c r="AN2">
        <v>5</v>
      </c>
      <c r="AP2">
        <v>5</v>
      </c>
      <c r="AQ2">
        <v>5</v>
      </c>
      <c r="AS2">
        <v>5</v>
      </c>
      <c r="AT2">
        <v>5</v>
      </c>
      <c r="AV2">
        <v>5</v>
      </c>
      <c r="AW2">
        <v>5</v>
      </c>
      <c r="AY2">
        <v>5</v>
      </c>
      <c r="AZ2">
        <v>5</v>
      </c>
      <c r="BB2">
        <v>5</v>
      </c>
      <c r="BC2">
        <v>5</v>
      </c>
      <c r="BE2">
        <v>5</v>
      </c>
      <c r="BF2">
        <v>5</v>
      </c>
      <c r="BH2">
        <v>5</v>
      </c>
      <c r="BI2">
        <v>5</v>
      </c>
      <c r="BK2">
        <v>5</v>
      </c>
      <c r="BL2">
        <v>5</v>
      </c>
      <c r="BN2">
        <v>5</v>
      </c>
      <c r="BO2">
        <v>5</v>
      </c>
      <c r="BQ2">
        <v>5</v>
      </c>
      <c r="BR2">
        <v>5</v>
      </c>
      <c r="BT2">
        <v>5</v>
      </c>
      <c r="BU2">
        <v>5</v>
      </c>
      <c r="BW2">
        <v>5</v>
      </c>
      <c r="BX2">
        <v>5</v>
      </c>
      <c r="BZ2">
        <v>5</v>
      </c>
      <c r="CA2">
        <v>5</v>
      </c>
      <c r="CC2">
        <v>5</v>
      </c>
      <c r="CD2">
        <v>5</v>
      </c>
      <c r="CF2">
        <v>5</v>
      </c>
      <c r="CG2">
        <v>5</v>
      </c>
      <c r="CI2">
        <v>5</v>
      </c>
      <c r="CJ2">
        <v>4</v>
      </c>
      <c r="CL2">
        <v>5</v>
      </c>
      <c r="CM2">
        <v>5</v>
      </c>
      <c r="CO2">
        <v>4</v>
      </c>
      <c r="CP2">
        <v>4</v>
      </c>
      <c r="CR2">
        <v>4</v>
      </c>
      <c r="CS2">
        <v>5</v>
      </c>
      <c r="CU2">
        <v>5</v>
      </c>
      <c r="CV2">
        <v>5</v>
      </c>
      <c r="CX2">
        <v>5</v>
      </c>
      <c r="CY2" t="s">
        <v>108</v>
      </c>
      <c r="CZ2" t="s">
        <v>109</v>
      </c>
      <c r="DA2" t="s">
        <v>110</v>
      </c>
    </row>
    <row r="3" spans="1:106" x14ac:dyDescent="0.25">
      <c r="A3" t="s">
        <v>111</v>
      </c>
      <c r="B3" t="s">
        <v>107</v>
      </c>
      <c r="C3">
        <v>3</v>
      </c>
      <c r="D3">
        <v>3</v>
      </c>
      <c r="E3" t="s">
        <v>112</v>
      </c>
      <c r="F3">
        <v>4</v>
      </c>
      <c r="G3">
        <v>5</v>
      </c>
      <c r="I3">
        <v>4</v>
      </c>
      <c r="J3">
        <v>3</v>
      </c>
      <c r="K3" t="s">
        <v>113</v>
      </c>
      <c r="L3">
        <v>5</v>
      </c>
      <c r="M3">
        <v>5</v>
      </c>
      <c r="O3">
        <v>4</v>
      </c>
      <c r="P3">
        <v>5</v>
      </c>
      <c r="Q3" t="s">
        <v>114</v>
      </c>
      <c r="R3">
        <v>4</v>
      </c>
      <c r="S3">
        <v>5</v>
      </c>
      <c r="U3">
        <v>4</v>
      </c>
      <c r="V3">
        <v>4</v>
      </c>
      <c r="X3">
        <v>2</v>
      </c>
      <c r="Y3">
        <v>1</v>
      </c>
      <c r="Z3" t="s">
        <v>115</v>
      </c>
      <c r="AA3">
        <v>5</v>
      </c>
      <c r="AB3">
        <v>4</v>
      </c>
      <c r="AD3">
        <v>4</v>
      </c>
      <c r="AE3">
        <v>2</v>
      </c>
      <c r="AF3" t="s">
        <v>116</v>
      </c>
      <c r="AG3">
        <v>2</v>
      </c>
      <c r="AH3">
        <v>3</v>
      </c>
      <c r="AI3" t="s">
        <v>117</v>
      </c>
      <c r="AJ3">
        <v>4</v>
      </c>
      <c r="AK3">
        <v>3</v>
      </c>
      <c r="AL3" t="s">
        <v>118</v>
      </c>
      <c r="AM3">
        <v>4</v>
      </c>
      <c r="AN3">
        <v>4</v>
      </c>
      <c r="AP3">
        <v>2</v>
      </c>
      <c r="AQ3">
        <v>4</v>
      </c>
      <c r="AS3">
        <v>4</v>
      </c>
      <c r="AT3">
        <v>5</v>
      </c>
      <c r="AV3">
        <v>4</v>
      </c>
      <c r="AW3">
        <v>2</v>
      </c>
      <c r="AX3" t="s">
        <v>119</v>
      </c>
      <c r="AY3">
        <v>5</v>
      </c>
      <c r="AZ3">
        <v>3</v>
      </c>
      <c r="BA3" t="s">
        <v>120</v>
      </c>
      <c r="BB3">
        <v>4</v>
      </c>
      <c r="BC3">
        <v>3</v>
      </c>
      <c r="BD3" t="s">
        <v>121</v>
      </c>
      <c r="BE3">
        <v>4</v>
      </c>
      <c r="BF3">
        <v>3</v>
      </c>
      <c r="BG3" t="s">
        <v>122</v>
      </c>
      <c r="BH3">
        <v>4</v>
      </c>
      <c r="BI3">
        <v>3</v>
      </c>
      <c r="BJ3" t="s">
        <v>123</v>
      </c>
      <c r="BK3">
        <v>5</v>
      </c>
      <c r="BL3">
        <v>4</v>
      </c>
      <c r="BN3">
        <v>4</v>
      </c>
      <c r="BO3">
        <v>3</v>
      </c>
      <c r="BP3" t="s">
        <v>124</v>
      </c>
      <c r="BQ3">
        <v>4</v>
      </c>
      <c r="BR3">
        <v>3</v>
      </c>
      <c r="BS3" t="s">
        <v>125</v>
      </c>
      <c r="BT3">
        <v>5</v>
      </c>
      <c r="BU3">
        <v>4</v>
      </c>
      <c r="BW3">
        <v>4</v>
      </c>
      <c r="BX3">
        <v>3</v>
      </c>
      <c r="BY3" t="s">
        <v>126</v>
      </c>
      <c r="BZ3">
        <v>5</v>
      </c>
      <c r="CA3">
        <v>4</v>
      </c>
      <c r="CC3">
        <v>5</v>
      </c>
      <c r="CD3">
        <v>5</v>
      </c>
      <c r="CF3">
        <v>4</v>
      </c>
      <c r="CG3">
        <v>3</v>
      </c>
      <c r="CH3" t="s">
        <v>127</v>
      </c>
      <c r="CI3">
        <v>4</v>
      </c>
      <c r="CJ3">
        <v>3</v>
      </c>
      <c r="CK3" t="s">
        <v>128</v>
      </c>
      <c r="CL3">
        <v>4</v>
      </c>
      <c r="CM3">
        <v>2</v>
      </c>
      <c r="CN3" t="s">
        <v>129</v>
      </c>
      <c r="CO3">
        <v>4</v>
      </c>
      <c r="CP3">
        <v>3</v>
      </c>
      <c r="CQ3" t="s">
        <v>130</v>
      </c>
      <c r="CR3">
        <v>4</v>
      </c>
      <c r="CS3">
        <v>2</v>
      </c>
      <c r="CT3" t="s">
        <v>131</v>
      </c>
      <c r="CU3">
        <v>4</v>
      </c>
      <c r="CV3">
        <v>1</v>
      </c>
      <c r="CW3" t="s">
        <v>132</v>
      </c>
      <c r="CX3">
        <v>4</v>
      </c>
      <c r="CY3" t="s">
        <v>133</v>
      </c>
      <c r="CZ3" t="s">
        <v>134</v>
      </c>
      <c r="DA3" t="s">
        <v>135</v>
      </c>
      <c r="DB3" t="s">
        <v>136</v>
      </c>
    </row>
    <row r="4" spans="1:106" x14ac:dyDescent="0.25">
      <c r="A4" t="s">
        <v>137</v>
      </c>
      <c r="B4" t="s">
        <v>138</v>
      </c>
      <c r="C4">
        <v>4</v>
      </c>
      <c r="D4">
        <v>5</v>
      </c>
      <c r="F4">
        <v>5</v>
      </c>
      <c r="G4">
        <v>2</v>
      </c>
      <c r="H4" t="s">
        <v>139</v>
      </c>
      <c r="I4">
        <v>4</v>
      </c>
      <c r="J4">
        <v>5</v>
      </c>
      <c r="L4">
        <v>4</v>
      </c>
      <c r="M4">
        <v>5</v>
      </c>
      <c r="O4">
        <v>4</v>
      </c>
      <c r="P4">
        <v>5</v>
      </c>
      <c r="R4">
        <v>5</v>
      </c>
      <c r="S4">
        <v>5</v>
      </c>
      <c r="U4">
        <v>4</v>
      </c>
      <c r="V4">
        <v>3</v>
      </c>
      <c r="X4">
        <v>4</v>
      </c>
      <c r="Y4">
        <v>4</v>
      </c>
      <c r="Z4" t="s">
        <v>140</v>
      </c>
      <c r="AA4">
        <v>5</v>
      </c>
      <c r="AB4">
        <v>5</v>
      </c>
      <c r="AC4" t="s">
        <v>141</v>
      </c>
      <c r="AD4">
        <v>5</v>
      </c>
      <c r="AE4">
        <v>2</v>
      </c>
      <c r="AF4" t="s">
        <v>142</v>
      </c>
      <c r="AG4">
        <v>5</v>
      </c>
      <c r="AH4">
        <v>5</v>
      </c>
      <c r="AJ4">
        <v>5</v>
      </c>
      <c r="AK4">
        <v>3</v>
      </c>
      <c r="AL4" t="s">
        <v>143</v>
      </c>
      <c r="AM4">
        <v>5</v>
      </c>
      <c r="AN4">
        <v>5</v>
      </c>
      <c r="AP4">
        <v>5</v>
      </c>
      <c r="AQ4">
        <v>5</v>
      </c>
      <c r="AS4">
        <v>5</v>
      </c>
      <c r="AT4">
        <v>3</v>
      </c>
      <c r="AU4" t="s">
        <v>144</v>
      </c>
      <c r="AV4">
        <v>4</v>
      </c>
      <c r="AW4">
        <v>2</v>
      </c>
      <c r="AX4" t="s">
        <v>145</v>
      </c>
      <c r="AY4">
        <v>5</v>
      </c>
      <c r="AZ4">
        <v>3</v>
      </c>
      <c r="BA4" t="s">
        <v>146</v>
      </c>
      <c r="BB4">
        <v>5</v>
      </c>
      <c r="BC4">
        <v>5</v>
      </c>
      <c r="BE4">
        <v>4</v>
      </c>
      <c r="BF4">
        <v>5</v>
      </c>
      <c r="BH4">
        <v>5</v>
      </c>
      <c r="BI4">
        <v>4</v>
      </c>
      <c r="BJ4" t="s">
        <v>147</v>
      </c>
      <c r="BK4">
        <v>5</v>
      </c>
      <c r="BL4">
        <v>3</v>
      </c>
      <c r="BN4">
        <v>5</v>
      </c>
      <c r="BO4">
        <v>4</v>
      </c>
      <c r="BQ4">
        <v>5</v>
      </c>
      <c r="BR4">
        <v>5</v>
      </c>
      <c r="BT4">
        <v>5</v>
      </c>
      <c r="BU4">
        <v>5</v>
      </c>
      <c r="BW4">
        <v>5</v>
      </c>
      <c r="BX4">
        <v>4</v>
      </c>
      <c r="BZ4">
        <v>5</v>
      </c>
      <c r="CA4">
        <v>4</v>
      </c>
      <c r="CB4" t="s">
        <v>148</v>
      </c>
      <c r="CC4">
        <v>5</v>
      </c>
      <c r="CD4">
        <v>5</v>
      </c>
      <c r="CF4">
        <v>5</v>
      </c>
      <c r="CG4">
        <v>5</v>
      </c>
      <c r="CI4">
        <v>4</v>
      </c>
      <c r="CJ4">
        <v>5</v>
      </c>
      <c r="CL4">
        <v>5</v>
      </c>
      <c r="CM4">
        <v>5</v>
      </c>
      <c r="CO4">
        <v>5</v>
      </c>
      <c r="CP4">
        <v>2</v>
      </c>
      <c r="CQ4" t="s">
        <v>149</v>
      </c>
      <c r="CR4">
        <v>5</v>
      </c>
      <c r="CS4">
        <v>1</v>
      </c>
      <c r="CT4" t="s">
        <v>150</v>
      </c>
      <c r="CU4">
        <v>5</v>
      </c>
      <c r="CV4">
        <v>4</v>
      </c>
      <c r="CX4">
        <v>5</v>
      </c>
      <c r="CY4" t="s">
        <v>151</v>
      </c>
      <c r="CZ4" t="s">
        <v>152</v>
      </c>
      <c r="DA4" t="s">
        <v>153</v>
      </c>
      <c r="DB4" t="s">
        <v>154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8"/>
  <sheetViews>
    <sheetView tabSelected="1" workbookViewId="0">
      <selection activeCell="B1" sqref="B1:D58"/>
    </sheetView>
  </sheetViews>
  <sheetFormatPr defaultRowHeight="15" x14ac:dyDescent="0.25"/>
  <sheetData>
    <row r="1" spans="1:7" x14ac:dyDescent="0.25">
      <c r="A1" s="1" t="s">
        <v>155</v>
      </c>
      <c r="B1" s="1" t="s">
        <v>156</v>
      </c>
      <c r="C1" s="1" t="s">
        <v>157</v>
      </c>
      <c r="D1" s="1" t="s">
        <v>158</v>
      </c>
    </row>
    <row r="2" spans="1:7" x14ac:dyDescent="0.25">
      <c r="A2">
        <v>1</v>
      </c>
      <c r="B2" t="s">
        <v>159</v>
      </c>
      <c r="C2" t="s">
        <v>106</v>
      </c>
      <c r="D2">
        <v>5</v>
      </c>
      <c r="E2">
        <f>IF($C2="Alex Watkins",$D2,NA())</f>
        <v>5</v>
      </c>
      <c r="F2" t="e">
        <f>IF($C2="Eleni Poupaki",$D2,NA())</f>
        <v>#N/A</v>
      </c>
      <c r="G2" t="e">
        <f>IF($C2="Randall Higuchi",$D2,NA())</f>
        <v>#N/A</v>
      </c>
    </row>
    <row r="3" spans="1:7" x14ac:dyDescent="0.25">
      <c r="A3">
        <v>1</v>
      </c>
      <c r="B3" t="s">
        <v>159</v>
      </c>
      <c r="C3" t="s">
        <v>111</v>
      </c>
      <c r="D3">
        <v>3</v>
      </c>
      <c r="E3" t="e">
        <f t="shared" ref="E3:E58" si="0">IF($C3="Alex Watkins",$D3,NA())</f>
        <v>#N/A</v>
      </c>
      <c r="F3">
        <f t="shared" ref="F3:F58" si="1">IF($C3="Eleni Poupaki",$D3,NA())</f>
        <v>3</v>
      </c>
      <c r="G3" t="e">
        <f t="shared" ref="G3:G58" si="2">IF($C3="Randall Higuchi",$D3,NA())</f>
        <v>#N/A</v>
      </c>
    </row>
    <row r="4" spans="1:7" x14ac:dyDescent="0.25">
      <c r="A4">
        <v>1</v>
      </c>
      <c r="B4" t="s">
        <v>159</v>
      </c>
      <c r="C4" t="s">
        <v>137</v>
      </c>
      <c r="D4">
        <v>4</v>
      </c>
      <c r="E4" t="e">
        <f t="shared" si="0"/>
        <v>#N/A</v>
      </c>
      <c r="F4" t="e">
        <f t="shared" si="1"/>
        <v>#N/A</v>
      </c>
      <c r="G4">
        <f t="shared" si="2"/>
        <v>4</v>
      </c>
    </row>
    <row r="5" spans="1:7" x14ac:dyDescent="0.25">
      <c r="A5">
        <v>2</v>
      </c>
      <c r="B5" t="s">
        <v>160</v>
      </c>
      <c r="C5" t="s">
        <v>106</v>
      </c>
      <c r="D5">
        <v>5</v>
      </c>
      <c r="E5">
        <f t="shared" si="0"/>
        <v>5</v>
      </c>
      <c r="F5" t="e">
        <f t="shared" si="1"/>
        <v>#N/A</v>
      </c>
      <c r="G5" t="e">
        <f t="shared" si="2"/>
        <v>#N/A</v>
      </c>
    </row>
    <row r="6" spans="1:7" x14ac:dyDescent="0.25">
      <c r="A6">
        <v>2</v>
      </c>
      <c r="B6" t="s">
        <v>160</v>
      </c>
      <c r="C6" t="s">
        <v>111</v>
      </c>
      <c r="D6">
        <v>4</v>
      </c>
      <c r="E6" t="e">
        <f t="shared" si="0"/>
        <v>#N/A</v>
      </c>
      <c r="F6">
        <f t="shared" si="1"/>
        <v>4</v>
      </c>
      <c r="G6" t="e">
        <f t="shared" si="2"/>
        <v>#N/A</v>
      </c>
    </row>
    <row r="7" spans="1:7" x14ac:dyDescent="0.25">
      <c r="A7">
        <v>2</v>
      </c>
      <c r="B7" t="s">
        <v>160</v>
      </c>
      <c r="C7" t="s">
        <v>137</v>
      </c>
      <c r="D7">
        <v>5</v>
      </c>
      <c r="E7" t="e">
        <f t="shared" si="0"/>
        <v>#N/A</v>
      </c>
      <c r="F7" t="e">
        <f t="shared" si="1"/>
        <v>#N/A</v>
      </c>
      <c r="G7">
        <f t="shared" si="2"/>
        <v>5</v>
      </c>
    </row>
    <row r="8" spans="1:7" x14ac:dyDescent="0.25">
      <c r="A8">
        <v>3</v>
      </c>
      <c r="B8" t="s">
        <v>161</v>
      </c>
      <c r="C8" t="s">
        <v>106</v>
      </c>
      <c r="D8">
        <v>5</v>
      </c>
      <c r="E8">
        <f t="shared" si="0"/>
        <v>5</v>
      </c>
      <c r="F8" t="e">
        <f t="shared" si="1"/>
        <v>#N/A</v>
      </c>
      <c r="G8" t="e">
        <f t="shared" si="2"/>
        <v>#N/A</v>
      </c>
    </row>
    <row r="9" spans="1:7" x14ac:dyDescent="0.25">
      <c r="A9">
        <v>3</v>
      </c>
      <c r="B9" t="s">
        <v>161</v>
      </c>
      <c r="C9" t="s">
        <v>111</v>
      </c>
      <c r="D9">
        <v>4</v>
      </c>
      <c r="E9" t="e">
        <f t="shared" si="0"/>
        <v>#N/A</v>
      </c>
      <c r="F9">
        <f t="shared" si="1"/>
        <v>4</v>
      </c>
      <c r="G9" t="e">
        <f t="shared" si="2"/>
        <v>#N/A</v>
      </c>
    </row>
    <row r="10" spans="1:7" x14ac:dyDescent="0.25">
      <c r="A10">
        <v>3</v>
      </c>
      <c r="B10" t="s">
        <v>161</v>
      </c>
      <c r="C10" t="s">
        <v>137</v>
      </c>
      <c r="D10">
        <v>4</v>
      </c>
      <c r="E10" t="e">
        <f t="shared" si="0"/>
        <v>#N/A</v>
      </c>
      <c r="F10" t="e">
        <f t="shared" si="1"/>
        <v>#N/A</v>
      </c>
      <c r="G10">
        <f t="shared" si="2"/>
        <v>4</v>
      </c>
    </row>
    <row r="11" spans="1:7" x14ac:dyDescent="0.25">
      <c r="A11">
        <v>4</v>
      </c>
      <c r="B11" t="s">
        <v>162</v>
      </c>
      <c r="C11" t="s">
        <v>106</v>
      </c>
      <c r="D11">
        <v>5</v>
      </c>
      <c r="E11">
        <f t="shared" si="0"/>
        <v>5</v>
      </c>
      <c r="F11" t="e">
        <f t="shared" si="1"/>
        <v>#N/A</v>
      </c>
      <c r="G11" t="e">
        <f t="shared" si="2"/>
        <v>#N/A</v>
      </c>
    </row>
    <row r="12" spans="1:7" x14ac:dyDescent="0.25">
      <c r="A12">
        <v>4</v>
      </c>
      <c r="B12" t="s">
        <v>162</v>
      </c>
      <c r="C12" t="s">
        <v>111</v>
      </c>
      <c r="D12">
        <v>5</v>
      </c>
      <c r="E12" t="e">
        <f t="shared" si="0"/>
        <v>#N/A</v>
      </c>
      <c r="F12">
        <f t="shared" si="1"/>
        <v>5</v>
      </c>
      <c r="G12" t="e">
        <f t="shared" si="2"/>
        <v>#N/A</v>
      </c>
    </row>
    <row r="13" spans="1:7" x14ac:dyDescent="0.25">
      <c r="A13">
        <v>4</v>
      </c>
      <c r="B13" t="s">
        <v>162</v>
      </c>
      <c r="C13" t="s">
        <v>137</v>
      </c>
      <c r="D13">
        <v>4</v>
      </c>
      <c r="E13" t="e">
        <f t="shared" si="0"/>
        <v>#N/A</v>
      </c>
      <c r="F13" t="e">
        <f t="shared" si="1"/>
        <v>#N/A</v>
      </c>
      <c r="G13">
        <f t="shared" si="2"/>
        <v>4</v>
      </c>
    </row>
    <row r="14" spans="1:7" x14ac:dyDescent="0.25">
      <c r="A14">
        <v>5</v>
      </c>
      <c r="B14" t="s">
        <v>163</v>
      </c>
      <c r="C14" t="s">
        <v>106</v>
      </c>
      <c r="D14">
        <v>4</v>
      </c>
      <c r="E14">
        <f t="shared" si="0"/>
        <v>4</v>
      </c>
      <c r="F14" t="e">
        <f t="shared" si="1"/>
        <v>#N/A</v>
      </c>
      <c r="G14" t="e">
        <f t="shared" si="2"/>
        <v>#N/A</v>
      </c>
    </row>
    <row r="15" spans="1:7" x14ac:dyDescent="0.25">
      <c r="A15">
        <v>5</v>
      </c>
      <c r="B15" t="s">
        <v>163</v>
      </c>
      <c r="C15" t="s">
        <v>111</v>
      </c>
      <c r="D15">
        <v>4</v>
      </c>
      <c r="E15" t="e">
        <f t="shared" si="0"/>
        <v>#N/A</v>
      </c>
      <c r="F15">
        <f t="shared" si="1"/>
        <v>4</v>
      </c>
      <c r="G15" t="e">
        <f t="shared" si="2"/>
        <v>#N/A</v>
      </c>
    </row>
    <row r="16" spans="1:7" x14ac:dyDescent="0.25">
      <c r="A16">
        <v>5</v>
      </c>
      <c r="B16" t="s">
        <v>163</v>
      </c>
      <c r="C16" t="s">
        <v>137</v>
      </c>
      <c r="D16">
        <v>4</v>
      </c>
      <c r="E16" t="e">
        <f t="shared" si="0"/>
        <v>#N/A</v>
      </c>
      <c r="F16" t="e">
        <f t="shared" si="1"/>
        <v>#N/A</v>
      </c>
      <c r="G16">
        <f t="shared" si="2"/>
        <v>4</v>
      </c>
    </row>
    <row r="17" spans="1:7" x14ac:dyDescent="0.25">
      <c r="A17">
        <v>6</v>
      </c>
      <c r="B17" t="s">
        <v>164</v>
      </c>
      <c r="C17" t="s">
        <v>106</v>
      </c>
      <c r="D17">
        <v>5</v>
      </c>
      <c r="E17">
        <f t="shared" si="0"/>
        <v>5</v>
      </c>
      <c r="F17" t="e">
        <f t="shared" si="1"/>
        <v>#N/A</v>
      </c>
      <c r="G17" t="e">
        <f t="shared" si="2"/>
        <v>#N/A</v>
      </c>
    </row>
    <row r="18" spans="1:7" x14ac:dyDescent="0.25">
      <c r="A18">
        <v>6</v>
      </c>
      <c r="B18" t="s">
        <v>164</v>
      </c>
      <c r="C18" t="s">
        <v>111</v>
      </c>
      <c r="D18">
        <v>4</v>
      </c>
      <c r="E18" t="e">
        <f t="shared" si="0"/>
        <v>#N/A</v>
      </c>
      <c r="F18">
        <f t="shared" si="1"/>
        <v>4</v>
      </c>
      <c r="G18" t="e">
        <f t="shared" si="2"/>
        <v>#N/A</v>
      </c>
    </row>
    <row r="19" spans="1:7" x14ac:dyDescent="0.25">
      <c r="A19">
        <v>6</v>
      </c>
      <c r="B19" t="s">
        <v>164</v>
      </c>
      <c r="C19" t="s">
        <v>137</v>
      </c>
      <c r="D19">
        <v>5</v>
      </c>
      <c r="E19" t="e">
        <f t="shared" si="0"/>
        <v>#N/A</v>
      </c>
      <c r="F19" t="e">
        <f t="shared" si="1"/>
        <v>#N/A</v>
      </c>
      <c r="G19">
        <f t="shared" si="2"/>
        <v>5</v>
      </c>
    </row>
    <row r="20" spans="1:7" x14ac:dyDescent="0.25">
      <c r="A20">
        <v>7</v>
      </c>
      <c r="B20" t="s">
        <v>165</v>
      </c>
      <c r="C20" t="s">
        <v>106</v>
      </c>
      <c r="D20">
        <v>5</v>
      </c>
      <c r="E20">
        <f t="shared" si="0"/>
        <v>5</v>
      </c>
      <c r="F20" t="e">
        <f t="shared" si="1"/>
        <v>#N/A</v>
      </c>
      <c r="G20" t="e">
        <f t="shared" si="2"/>
        <v>#N/A</v>
      </c>
    </row>
    <row r="21" spans="1:7" x14ac:dyDescent="0.25">
      <c r="A21">
        <v>7</v>
      </c>
      <c r="B21" t="s">
        <v>165</v>
      </c>
      <c r="C21" t="s">
        <v>111</v>
      </c>
      <c r="D21">
        <v>4</v>
      </c>
      <c r="E21" t="e">
        <f t="shared" si="0"/>
        <v>#N/A</v>
      </c>
      <c r="F21">
        <f t="shared" si="1"/>
        <v>4</v>
      </c>
      <c r="G21" t="e">
        <f t="shared" si="2"/>
        <v>#N/A</v>
      </c>
    </row>
    <row r="22" spans="1:7" x14ac:dyDescent="0.25">
      <c r="A22">
        <v>7</v>
      </c>
      <c r="B22" t="s">
        <v>165</v>
      </c>
      <c r="C22" t="s">
        <v>137</v>
      </c>
      <c r="D22">
        <v>4</v>
      </c>
      <c r="E22" t="e">
        <f t="shared" si="0"/>
        <v>#N/A</v>
      </c>
      <c r="F22" t="e">
        <f t="shared" si="1"/>
        <v>#N/A</v>
      </c>
      <c r="G22">
        <f t="shared" si="2"/>
        <v>4</v>
      </c>
    </row>
    <row r="23" spans="1:7" x14ac:dyDescent="0.25">
      <c r="A23">
        <v>8</v>
      </c>
      <c r="B23" t="s">
        <v>166</v>
      </c>
      <c r="C23" t="s">
        <v>106</v>
      </c>
      <c r="D23">
        <v>4</v>
      </c>
      <c r="E23">
        <f t="shared" si="0"/>
        <v>4</v>
      </c>
      <c r="F23" t="e">
        <f t="shared" si="1"/>
        <v>#N/A</v>
      </c>
      <c r="G23" t="e">
        <f t="shared" si="2"/>
        <v>#N/A</v>
      </c>
    </row>
    <row r="24" spans="1:7" x14ac:dyDescent="0.25">
      <c r="A24">
        <v>8</v>
      </c>
      <c r="B24" t="s">
        <v>166</v>
      </c>
      <c r="C24" t="s">
        <v>111</v>
      </c>
      <c r="D24">
        <v>2</v>
      </c>
      <c r="E24" t="e">
        <f t="shared" si="0"/>
        <v>#N/A</v>
      </c>
      <c r="F24">
        <f t="shared" si="1"/>
        <v>2</v>
      </c>
      <c r="G24" t="e">
        <f t="shared" si="2"/>
        <v>#N/A</v>
      </c>
    </row>
    <row r="25" spans="1:7" x14ac:dyDescent="0.25">
      <c r="A25">
        <v>8</v>
      </c>
      <c r="B25" t="s">
        <v>166</v>
      </c>
      <c r="C25" t="s">
        <v>137</v>
      </c>
      <c r="D25">
        <v>4</v>
      </c>
      <c r="E25" t="e">
        <f t="shared" si="0"/>
        <v>#N/A</v>
      </c>
      <c r="F25" t="e">
        <f t="shared" si="1"/>
        <v>#N/A</v>
      </c>
      <c r="G25">
        <f t="shared" si="2"/>
        <v>4</v>
      </c>
    </row>
    <row r="26" spans="1:7" x14ac:dyDescent="0.25">
      <c r="A26">
        <v>9</v>
      </c>
      <c r="B26" t="s">
        <v>167</v>
      </c>
      <c r="C26" t="s">
        <v>106</v>
      </c>
      <c r="D26">
        <v>5</v>
      </c>
      <c r="E26">
        <f t="shared" si="0"/>
        <v>5</v>
      </c>
      <c r="F26" t="e">
        <f t="shared" si="1"/>
        <v>#N/A</v>
      </c>
      <c r="G26" t="e">
        <f t="shared" si="2"/>
        <v>#N/A</v>
      </c>
    </row>
    <row r="27" spans="1:7" x14ac:dyDescent="0.25">
      <c r="A27">
        <v>9</v>
      </c>
      <c r="B27" t="s">
        <v>167</v>
      </c>
      <c r="C27" t="s">
        <v>111</v>
      </c>
      <c r="D27">
        <v>5</v>
      </c>
      <c r="E27" t="e">
        <f t="shared" si="0"/>
        <v>#N/A</v>
      </c>
      <c r="F27">
        <f t="shared" si="1"/>
        <v>5</v>
      </c>
      <c r="G27" t="e">
        <f t="shared" si="2"/>
        <v>#N/A</v>
      </c>
    </row>
    <row r="28" spans="1:7" x14ac:dyDescent="0.25">
      <c r="A28">
        <v>9</v>
      </c>
      <c r="B28" t="s">
        <v>167</v>
      </c>
      <c r="C28" t="s">
        <v>137</v>
      </c>
      <c r="D28">
        <v>5</v>
      </c>
      <c r="E28" t="e">
        <f t="shared" si="0"/>
        <v>#N/A</v>
      </c>
      <c r="F28" t="e">
        <f t="shared" si="1"/>
        <v>#N/A</v>
      </c>
      <c r="G28">
        <f t="shared" si="2"/>
        <v>5</v>
      </c>
    </row>
    <row r="29" spans="1:7" x14ac:dyDescent="0.25">
      <c r="A29">
        <v>10</v>
      </c>
      <c r="B29" t="s">
        <v>168</v>
      </c>
      <c r="C29" t="s">
        <v>106</v>
      </c>
      <c r="D29">
        <v>5</v>
      </c>
      <c r="E29">
        <f t="shared" si="0"/>
        <v>5</v>
      </c>
      <c r="F29" t="e">
        <f t="shared" si="1"/>
        <v>#N/A</v>
      </c>
      <c r="G29" t="e">
        <f t="shared" si="2"/>
        <v>#N/A</v>
      </c>
    </row>
    <row r="30" spans="1:7" x14ac:dyDescent="0.25">
      <c r="A30">
        <v>10</v>
      </c>
      <c r="B30" t="s">
        <v>168</v>
      </c>
      <c r="C30" t="s">
        <v>111</v>
      </c>
      <c r="D30">
        <v>4</v>
      </c>
      <c r="E30" t="e">
        <f t="shared" si="0"/>
        <v>#N/A</v>
      </c>
      <c r="F30">
        <f t="shared" si="1"/>
        <v>4</v>
      </c>
      <c r="G30" t="e">
        <f t="shared" si="2"/>
        <v>#N/A</v>
      </c>
    </row>
    <row r="31" spans="1:7" x14ac:dyDescent="0.25">
      <c r="A31">
        <v>10</v>
      </c>
      <c r="B31" t="s">
        <v>168</v>
      </c>
      <c r="C31" t="s">
        <v>137</v>
      </c>
      <c r="D31">
        <v>5</v>
      </c>
      <c r="E31" t="e">
        <f t="shared" si="0"/>
        <v>#N/A</v>
      </c>
      <c r="F31" t="e">
        <f t="shared" si="1"/>
        <v>#N/A</v>
      </c>
      <c r="G31">
        <f t="shared" si="2"/>
        <v>5</v>
      </c>
    </row>
    <row r="32" spans="1:7" x14ac:dyDescent="0.25">
      <c r="A32">
        <v>11</v>
      </c>
      <c r="B32" t="s">
        <v>169</v>
      </c>
      <c r="C32" t="s">
        <v>106</v>
      </c>
      <c r="D32">
        <v>5</v>
      </c>
      <c r="E32">
        <f t="shared" si="0"/>
        <v>5</v>
      </c>
      <c r="F32" t="e">
        <f t="shared" si="1"/>
        <v>#N/A</v>
      </c>
      <c r="G32" t="e">
        <f t="shared" si="2"/>
        <v>#N/A</v>
      </c>
    </row>
    <row r="33" spans="1:7" x14ac:dyDescent="0.25">
      <c r="A33">
        <v>11</v>
      </c>
      <c r="B33" t="s">
        <v>169</v>
      </c>
      <c r="C33" t="s">
        <v>111</v>
      </c>
      <c r="D33">
        <v>2</v>
      </c>
      <c r="E33" t="e">
        <f t="shared" si="0"/>
        <v>#N/A</v>
      </c>
      <c r="F33">
        <f t="shared" si="1"/>
        <v>2</v>
      </c>
      <c r="G33" t="e">
        <f t="shared" si="2"/>
        <v>#N/A</v>
      </c>
    </row>
    <row r="34" spans="1:7" x14ac:dyDescent="0.25">
      <c r="A34">
        <v>11</v>
      </c>
      <c r="B34" t="s">
        <v>169</v>
      </c>
      <c r="C34" t="s">
        <v>137</v>
      </c>
      <c r="D34">
        <v>5</v>
      </c>
      <c r="E34" t="e">
        <f t="shared" si="0"/>
        <v>#N/A</v>
      </c>
      <c r="F34" t="e">
        <f t="shared" si="1"/>
        <v>#N/A</v>
      </c>
      <c r="G34">
        <f t="shared" si="2"/>
        <v>5</v>
      </c>
    </row>
    <row r="35" spans="1:7" x14ac:dyDescent="0.25">
      <c r="A35">
        <v>12</v>
      </c>
      <c r="B35" t="s">
        <v>170</v>
      </c>
      <c r="C35" t="s">
        <v>106</v>
      </c>
      <c r="D35">
        <v>5</v>
      </c>
      <c r="E35">
        <f t="shared" si="0"/>
        <v>5</v>
      </c>
      <c r="F35" t="e">
        <f t="shared" si="1"/>
        <v>#N/A</v>
      </c>
      <c r="G35" t="e">
        <f t="shared" si="2"/>
        <v>#N/A</v>
      </c>
    </row>
    <row r="36" spans="1:7" x14ac:dyDescent="0.25">
      <c r="A36">
        <v>12</v>
      </c>
      <c r="B36" t="s">
        <v>170</v>
      </c>
      <c r="C36" t="s">
        <v>111</v>
      </c>
      <c r="D36">
        <v>4</v>
      </c>
      <c r="E36" t="e">
        <f t="shared" si="0"/>
        <v>#N/A</v>
      </c>
      <c r="F36">
        <f t="shared" si="1"/>
        <v>4</v>
      </c>
      <c r="G36" t="e">
        <f t="shared" si="2"/>
        <v>#N/A</v>
      </c>
    </row>
    <row r="37" spans="1:7" x14ac:dyDescent="0.25">
      <c r="A37">
        <v>12</v>
      </c>
      <c r="B37" t="s">
        <v>170</v>
      </c>
      <c r="C37" t="s">
        <v>137</v>
      </c>
      <c r="D37">
        <v>5</v>
      </c>
      <c r="E37" t="e">
        <f t="shared" si="0"/>
        <v>#N/A</v>
      </c>
      <c r="F37" t="e">
        <f t="shared" si="1"/>
        <v>#N/A</v>
      </c>
      <c r="G37">
        <f t="shared" si="2"/>
        <v>5</v>
      </c>
    </row>
    <row r="38" spans="1:7" x14ac:dyDescent="0.25">
      <c r="A38">
        <v>13</v>
      </c>
      <c r="B38" t="s">
        <v>171</v>
      </c>
      <c r="C38" t="s">
        <v>106</v>
      </c>
      <c r="D38">
        <v>5</v>
      </c>
      <c r="E38">
        <f t="shared" si="0"/>
        <v>5</v>
      </c>
      <c r="F38" t="e">
        <f t="shared" si="1"/>
        <v>#N/A</v>
      </c>
      <c r="G38" t="e">
        <f t="shared" si="2"/>
        <v>#N/A</v>
      </c>
    </row>
    <row r="39" spans="1:7" x14ac:dyDescent="0.25">
      <c r="A39">
        <v>13</v>
      </c>
      <c r="B39" t="s">
        <v>171</v>
      </c>
      <c r="C39" t="s">
        <v>111</v>
      </c>
      <c r="D39">
        <v>4</v>
      </c>
      <c r="E39" t="e">
        <f t="shared" si="0"/>
        <v>#N/A</v>
      </c>
      <c r="F39">
        <f t="shared" si="1"/>
        <v>4</v>
      </c>
      <c r="G39" t="e">
        <f t="shared" si="2"/>
        <v>#N/A</v>
      </c>
    </row>
    <row r="40" spans="1:7" x14ac:dyDescent="0.25">
      <c r="A40">
        <v>13</v>
      </c>
      <c r="B40" t="s">
        <v>171</v>
      </c>
      <c r="C40" t="s">
        <v>137</v>
      </c>
      <c r="D40">
        <v>5</v>
      </c>
      <c r="E40" t="e">
        <f t="shared" si="0"/>
        <v>#N/A</v>
      </c>
      <c r="F40" t="e">
        <f t="shared" si="1"/>
        <v>#N/A</v>
      </c>
      <c r="G40">
        <f t="shared" si="2"/>
        <v>5</v>
      </c>
    </row>
    <row r="41" spans="1:7" x14ac:dyDescent="0.25">
      <c r="A41">
        <v>14</v>
      </c>
      <c r="B41" t="s">
        <v>172</v>
      </c>
      <c r="C41" t="s">
        <v>106</v>
      </c>
      <c r="D41">
        <v>5</v>
      </c>
      <c r="E41">
        <f t="shared" si="0"/>
        <v>5</v>
      </c>
      <c r="F41" t="e">
        <f t="shared" si="1"/>
        <v>#N/A</v>
      </c>
      <c r="G41" t="e">
        <f t="shared" si="2"/>
        <v>#N/A</v>
      </c>
    </row>
    <row r="42" spans="1:7" x14ac:dyDescent="0.25">
      <c r="A42">
        <v>14</v>
      </c>
      <c r="B42" t="s">
        <v>172</v>
      </c>
      <c r="C42" t="s">
        <v>111</v>
      </c>
      <c r="D42">
        <v>2</v>
      </c>
      <c r="E42" t="e">
        <f t="shared" si="0"/>
        <v>#N/A</v>
      </c>
      <c r="F42">
        <f t="shared" si="1"/>
        <v>2</v>
      </c>
      <c r="G42" t="e">
        <f t="shared" si="2"/>
        <v>#N/A</v>
      </c>
    </row>
    <row r="43" spans="1:7" x14ac:dyDescent="0.25">
      <c r="A43">
        <v>14</v>
      </c>
      <c r="B43" t="s">
        <v>172</v>
      </c>
      <c r="C43" t="s">
        <v>137</v>
      </c>
      <c r="D43">
        <v>5</v>
      </c>
      <c r="E43" t="e">
        <f t="shared" si="0"/>
        <v>#N/A</v>
      </c>
      <c r="F43" t="e">
        <f t="shared" si="1"/>
        <v>#N/A</v>
      </c>
      <c r="G43">
        <f t="shared" si="2"/>
        <v>5</v>
      </c>
    </row>
    <row r="44" spans="1:7" x14ac:dyDescent="0.25">
      <c r="A44">
        <v>15</v>
      </c>
      <c r="B44" t="s">
        <v>173</v>
      </c>
      <c r="C44" t="s">
        <v>106</v>
      </c>
      <c r="D44">
        <v>5</v>
      </c>
      <c r="E44">
        <f t="shared" si="0"/>
        <v>5</v>
      </c>
      <c r="F44" t="e">
        <f t="shared" si="1"/>
        <v>#N/A</v>
      </c>
      <c r="G44" t="e">
        <f t="shared" si="2"/>
        <v>#N/A</v>
      </c>
    </row>
    <row r="45" spans="1:7" x14ac:dyDescent="0.25">
      <c r="A45">
        <v>15</v>
      </c>
      <c r="B45" t="s">
        <v>173</v>
      </c>
      <c r="C45" t="s">
        <v>111</v>
      </c>
      <c r="D45">
        <v>4</v>
      </c>
      <c r="E45" t="e">
        <f t="shared" si="0"/>
        <v>#N/A</v>
      </c>
      <c r="F45">
        <f t="shared" si="1"/>
        <v>4</v>
      </c>
      <c r="G45" t="e">
        <f t="shared" si="2"/>
        <v>#N/A</v>
      </c>
    </row>
    <row r="46" spans="1:7" x14ac:dyDescent="0.25">
      <c r="A46">
        <v>15</v>
      </c>
      <c r="B46" t="s">
        <v>173</v>
      </c>
      <c r="C46" t="s">
        <v>137</v>
      </c>
      <c r="D46">
        <v>5</v>
      </c>
      <c r="E46" t="e">
        <f t="shared" si="0"/>
        <v>#N/A</v>
      </c>
      <c r="F46" t="e">
        <f t="shared" si="1"/>
        <v>#N/A</v>
      </c>
      <c r="G46">
        <f t="shared" si="2"/>
        <v>5</v>
      </c>
    </row>
    <row r="47" spans="1:7" x14ac:dyDescent="0.25">
      <c r="A47">
        <v>16</v>
      </c>
      <c r="B47" t="s">
        <v>174</v>
      </c>
      <c r="C47" t="s">
        <v>106</v>
      </c>
      <c r="D47">
        <v>5</v>
      </c>
      <c r="E47">
        <f t="shared" si="0"/>
        <v>5</v>
      </c>
      <c r="F47" t="e">
        <f t="shared" si="1"/>
        <v>#N/A</v>
      </c>
      <c r="G47" t="e">
        <f t="shared" si="2"/>
        <v>#N/A</v>
      </c>
    </row>
    <row r="48" spans="1:7" x14ac:dyDescent="0.25">
      <c r="A48">
        <v>16</v>
      </c>
      <c r="B48" t="s">
        <v>174</v>
      </c>
      <c r="C48" t="s">
        <v>111</v>
      </c>
      <c r="D48">
        <v>4</v>
      </c>
      <c r="E48" t="e">
        <f t="shared" si="0"/>
        <v>#N/A</v>
      </c>
      <c r="F48">
        <f t="shared" si="1"/>
        <v>4</v>
      </c>
      <c r="G48" t="e">
        <f t="shared" si="2"/>
        <v>#N/A</v>
      </c>
    </row>
    <row r="49" spans="1:7" x14ac:dyDescent="0.25">
      <c r="A49">
        <v>16</v>
      </c>
      <c r="B49" t="s">
        <v>174</v>
      </c>
      <c r="C49" t="s">
        <v>137</v>
      </c>
      <c r="D49">
        <v>4</v>
      </c>
      <c r="E49" t="e">
        <f t="shared" si="0"/>
        <v>#N/A</v>
      </c>
      <c r="F49" t="e">
        <f t="shared" si="1"/>
        <v>#N/A</v>
      </c>
      <c r="G49">
        <f t="shared" si="2"/>
        <v>4</v>
      </c>
    </row>
    <row r="50" spans="1:7" x14ac:dyDescent="0.25">
      <c r="A50">
        <v>17</v>
      </c>
      <c r="B50" t="s">
        <v>175</v>
      </c>
      <c r="C50" t="s">
        <v>106</v>
      </c>
      <c r="D50">
        <v>5</v>
      </c>
      <c r="E50">
        <f t="shared" si="0"/>
        <v>5</v>
      </c>
      <c r="F50" t="e">
        <f t="shared" si="1"/>
        <v>#N/A</v>
      </c>
      <c r="G50" t="e">
        <f t="shared" si="2"/>
        <v>#N/A</v>
      </c>
    </row>
    <row r="51" spans="1:7" x14ac:dyDescent="0.25">
      <c r="A51">
        <v>17</v>
      </c>
      <c r="B51" t="s">
        <v>175</v>
      </c>
      <c r="C51" t="s">
        <v>111</v>
      </c>
      <c r="D51">
        <v>5</v>
      </c>
      <c r="E51" t="e">
        <f t="shared" si="0"/>
        <v>#N/A</v>
      </c>
      <c r="F51">
        <f t="shared" si="1"/>
        <v>5</v>
      </c>
      <c r="G51" t="e">
        <f t="shared" si="2"/>
        <v>#N/A</v>
      </c>
    </row>
    <row r="52" spans="1:7" x14ac:dyDescent="0.25">
      <c r="A52">
        <v>17</v>
      </c>
      <c r="B52" t="s">
        <v>175</v>
      </c>
      <c r="C52" t="s">
        <v>137</v>
      </c>
      <c r="D52">
        <v>5</v>
      </c>
      <c r="E52" t="e">
        <f t="shared" si="0"/>
        <v>#N/A</v>
      </c>
      <c r="F52" t="e">
        <f t="shared" si="1"/>
        <v>#N/A</v>
      </c>
      <c r="G52">
        <f t="shared" si="2"/>
        <v>5</v>
      </c>
    </row>
    <row r="53" spans="1:7" x14ac:dyDescent="0.25">
      <c r="A53">
        <v>18</v>
      </c>
      <c r="B53" t="s">
        <v>176</v>
      </c>
      <c r="C53" t="s">
        <v>106</v>
      </c>
      <c r="D53">
        <v>5</v>
      </c>
      <c r="E53">
        <f t="shared" si="0"/>
        <v>5</v>
      </c>
      <c r="F53" t="e">
        <f t="shared" si="1"/>
        <v>#N/A</v>
      </c>
      <c r="G53" t="e">
        <f t="shared" si="2"/>
        <v>#N/A</v>
      </c>
    </row>
    <row r="54" spans="1:7" x14ac:dyDescent="0.25">
      <c r="A54">
        <v>18</v>
      </c>
      <c r="B54" t="s">
        <v>176</v>
      </c>
      <c r="C54" t="s">
        <v>111</v>
      </c>
      <c r="D54">
        <v>4</v>
      </c>
      <c r="E54" t="e">
        <f t="shared" si="0"/>
        <v>#N/A</v>
      </c>
      <c r="F54">
        <f t="shared" si="1"/>
        <v>4</v>
      </c>
      <c r="G54" t="e">
        <f t="shared" si="2"/>
        <v>#N/A</v>
      </c>
    </row>
    <row r="55" spans="1:7" x14ac:dyDescent="0.25">
      <c r="A55">
        <v>18</v>
      </c>
      <c r="B55" t="s">
        <v>176</v>
      </c>
      <c r="C55" t="s">
        <v>137</v>
      </c>
      <c r="D55">
        <v>5</v>
      </c>
      <c r="E55" t="e">
        <f t="shared" si="0"/>
        <v>#N/A</v>
      </c>
      <c r="F55" t="e">
        <f t="shared" si="1"/>
        <v>#N/A</v>
      </c>
      <c r="G55">
        <f t="shared" si="2"/>
        <v>5</v>
      </c>
    </row>
    <row r="56" spans="1:7" x14ac:dyDescent="0.25">
      <c r="A56">
        <v>19</v>
      </c>
      <c r="B56" t="s">
        <v>177</v>
      </c>
      <c r="C56" t="s">
        <v>106</v>
      </c>
      <c r="D56">
        <v>5</v>
      </c>
      <c r="E56">
        <f t="shared" si="0"/>
        <v>5</v>
      </c>
      <c r="F56" t="e">
        <f t="shared" si="1"/>
        <v>#N/A</v>
      </c>
      <c r="G56" t="e">
        <f t="shared" si="2"/>
        <v>#N/A</v>
      </c>
    </row>
    <row r="57" spans="1:7" x14ac:dyDescent="0.25">
      <c r="A57">
        <v>19</v>
      </c>
      <c r="B57" t="s">
        <v>177</v>
      </c>
      <c r="C57" t="s">
        <v>111</v>
      </c>
      <c r="D57">
        <v>4</v>
      </c>
      <c r="E57" t="e">
        <f t="shared" si="0"/>
        <v>#N/A</v>
      </c>
      <c r="F57">
        <f t="shared" si="1"/>
        <v>4</v>
      </c>
      <c r="G57" t="e">
        <f t="shared" si="2"/>
        <v>#N/A</v>
      </c>
    </row>
    <row r="58" spans="1:7" x14ac:dyDescent="0.25">
      <c r="A58">
        <v>19</v>
      </c>
      <c r="B58" t="s">
        <v>177</v>
      </c>
      <c r="C58" t="s">
        <v>137</v>
      </c>
      <c r="D58">
        <v>4</v>
      </c>
      <c r="E58" t="e">
        <f t="shared" si="0"/>
        <v>#N/A</v>
      </c>
      <c r="F58" t="e">
        <f t="shared" si="1"/>
        <v>#N/A</v>
      </c>
      <c r="G58">
        <f t="shared" si="2"/>
        <v>4</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3"/>
  <sheetViews>
    <sheetView workbookViewId="0">
      <selection activeCell="B1" sqref="B1:D43"/>
    </sheetView>
  </sheetViews>
  <sheetFormatPr defaultRowHeight="15" x14ac:dyDescent="0.25"/>
  <sheetData>
    <row r="1" spans="1:7" x14ac:dyDescent="0.25">
      <c r="A1" s="1" t="s">
        <v>155</v>
      </c>
      <c r="B1" s="1" t="s">
        <v>156</v>
      </c>
      <c r="C1" s="1" t="s">
        <v>157</v>
      </c>
      <c r="D1" s="1" t="s">
        <v>158</v>
      </c>
    </row>
    <row r="2" spans="1:7" x14ac:dyDescent="0.25">
      <c r="A2">
        <v>1</v>
      </c>
      <c r="B2" t="s">
        <v>178</v>
      </c>
      <c r="C2" t="s">
        <v>106</v>
      </c>
      <c r="D2">
        <v>5</v>
      </c>
      <c r="E2">
        <f>IF($C2="Alex Watkins",$D2,NA())</f>
        <v>5</v>
      </c>
      <c r="F2" t="e">
        <f>IF($C2="Eleni Poupaki",$D2,NA())</f>
        <v>#N/A</v>
      </c>
      <c r="G2" t="e">
        <f>IF($C2="Randall Higuchi",$D2,NA())</f>
        <v>#N/A</v>
      </c>
    </row>
    <row r="3" spans="1:7" x14ac:dyDescent="0.25">
      <c r="A3">
        <v>1</v>
      </c>
      <c r="B3" t="s">
        <v>178</v>
      </c>
      <c r="C3" t="s">
        <v>111</v>
      </c>
      <c r="D3">
        <v>4</v>
      </c>
      <c r="E3" t="e">
        <f t="shared" ref="E3:E43" si="0">IF($C3="Alex Watkins",$D3,NA())</f>
        <v>#N/A</v>
      </c>
      <c r="F3">
        <f t="shared" ref="F3:F43" si="1">IF($C3="Eleni Poupaki",$D3,NA())</f>
        <v>4</v>
      </c>
      <c r="G3" t="e">
        <f t="shared" ref="G3:G43" si="2">IF($C3="Randall Higuchi",$D3,NA())</f>
        <v>#N/A</v>
      </c>
    </row>
    <row r="4" spans="1:7" x14ac:dyDescent="0.25">
      <c r="A4">
        <v>1</v>
      </c>
      <c r="B4" t="s">
        <v>178</v>
      </c>
      <c r="C4" t="s">
        <v>137</v>
      </c>
      <c r="D4">
        <v>5</v>
      </c>
      <c r="E4" t="e">
        <f t="shared" si="0"/>
        <v>#N/A</v>
      </c>
      <c r="F4" t="e">
        <f t="shared" si="1"/>
        <v>#N/A</v>
      </c>
      <c r="G4">
        <f t="shared" si="2"/>
        <v>5</v>
      </c>
    </row>
    <row r="5" spans="1:7" x14ac:dyDescent="0.25">
      <c r="A5">
        <v>2</v>
      </c>
      <c r="B5" t="s">
        <v>179</v>
      </c>
      <c r="C5" t="s">
        <v>106</v>
      </c>
      <c r="D5">
        <v>5</v>
      </c>
      <c r="E5">
        <f t="shared" si="0"/>
        <v>5</v>
      </c>
      <c r="F5" t="e">
        <f t="shared" si="1"/>
        <v>#N/A</v>
      </c>
      <c r="G5" t="e">
        <f t="shared" si="2"/>
        <v>#N/A</v>
      </c>
    </row>
    <row r="6" spans="1:7" x14ac:dyDescent="0.25">
      <c r="A6">
        <v>2</v>
      </c>
      <c r="B6" t="s">
        <v>179</v>
      </c>
      <c r="C6" t="s">
        <v>111</v>
      </c>
      <c r="D6">
        <v>5</v>
      </c>
      <c r="E6" t="e">
        <f t="shared" si="0"/>
        <v>#N/A</v>
      </c>
      <c r="F6">
        <f t="shared" si="1"/>
        <v>5</v>
      </c>
      <c r="G6" t="e">
        <f t="shared" si="2"/>
        <v>#N/A</v>
      </c>
    </row>
    <row r="7" spans="1:7" x14ac:dyDescent="0.25">
      <c r="A7">
        <v>2</v>
      </c>
      <c r="B7" t="s">
        <v>179</v>
      </c>
      <c r="C7" t="s">
        <v>137</v>
      </c>
      <c r="D7">
        <v>5</v>
      </c>
      <c r="E7" t="e">
        <f t="shared" si="0"/>
        <v>#N/A</v>
      </c>
      <c r="F7" t="e">
        <f t="shared" si="1"/>
        <v>#N/A</v>
      </c>
      <c r="G7">
        <f t="shared" si="2"/>
        <v>5</v>
      </c>
    </row>
    <row r="8" spans="1:7" x14ac:dyDescent="0.25">
      <c r="A8">
        <v>3</v>
      </c>
      <c r="B8" t="s">
        <v>180</v>
      </c>
      <c r="C8" t="s">
        <v>106</v>
      </c>
      <c r="D8">
        <v>5</v>
      </c>
      <c r="E8">
        <f t="shared" si="0"/>
        <v>5</v>
      </c>
      <c r="F8" t="e">
        <f t="shared" si="1"/>
        <v>#N/A</v>
      </c>
      <c r="G8" t="e">
        <f t="shared" si="2"/>
        <v>#N/A</v>
      </c>
    </row>
    <row r="9" spans="1:7" x14ac:dyDescent="0.25">
      <c r="A9">
        <v>3</v>
      </c>
      <c r="B9" t="s">
        <v>180</v>
      </c>
      <c r="C9" t="s">
        <v>111</v>
      </c>
      <c r="D9">
        <v>4</v>
      </c>
      <c r="E9" t="e">
        <f t="shared" si="0"/>
        <v>#N/A</v>
      </c>
      <c r="F9">
        <f t="shared" si="1"/>
        <v>4</v>
      </c>
      <c r="G9" t="e">
        <f t="shared" si="2"/>
        <v>#N/A</v>
      </c>
    </row>
    <row r="10" spans="1:7" x14ac:dyDescent="0.25">
      <c r="A10">
        <v>3</v>
      </c>
      <c r="B10" t="s">
        <v>180</v>
      </c>
      <c r="C10" t="s">
        <v>137</v>
      </c>
      <c r="D10">
        <v>5</v>
      </c>
      <c r="E10" t="e">
        <f t="shared" si="0"/>
        <v>#N/A</v>
      </c>
      <c r="F10" t="e">
        <f t="shared" si="1"/>
        <v>#N/A</v>
      </c>
      <c r="G10">
        <f t="shared" si="2"/>
        <v>5</v>
      </c>
    </row>
    <row r="11" spans="1:7" x14ac:dyDescent="0.25">
      <c r="A11">
        <v>4</v>
      </c>
      <c r="B11" t="s">
        <v>181</v>
      </c>
      <c r="C11" t="s">
        <v>106</v>
      </c>
      <c r="D11">
        <v>5</v>
      </c>
      <c r="E11">
        <f t="shared" si="0"/>
        <v>5</v>
      </c>
      <c r="F11" t="e">
        <f t="shared" si="1"/>
        <v>#N/A</v>
      </c>
      <c r="G11" t="e">
        <f t="shared" si="2"/>
        <v>#N/A</v>
      </c>
    </row>
    <row r="12" spans="1:7" x14ac:dyDescent="0.25">
      <c r="A12">
        <v>4</v>
      </c>
      <c r="B12" t="s">
        <v>181</v>
      </c>
      <c r="C12" t="s">
        <v>111</v>
      </c>
      <c r="D12">
        <v>4</v>
      </c>
      <c r="E12" t="e">
        <f t="shared" si="0"/>
        <v>#N/A</v>
      </c>
      <c r="F12">
        <f t="shared" si="1"/>
        <v>4</v>
      </c>
      <c r="G12" t="e">
        <f t="shared" si="2"/>
        <v>#N/A</v>
      </c>
    </row>
    <row r="13" spans="1:7" x14ac:dyDescent="0.25">
      <c r="A13">
        <v>4</v>
      </c>
      <c r="B13" t="s">
        <v>181</v>
      </c>
      <c r="C13" t="s">
        <v>137</v>
      </c>
      <c r="D13">
        <v>5</v>
      </c>
      <c r="E13" t="e">
        <f t="shared" si="0"/>
        <v>#N/A</v>
      </c>
      <c r="F13" t="e">
        <f t="shared" si="1"/>
        <v>#N/A</v>
      </c>
      <c r="G13">
        <f t="shared" si="2"/>
        <v>5</v>
      </c>
    </row>
    <row r="14" spans="1:7" x14ac:dyDescent="0.25">
      <c r="A14">
        <v>5</v>
      </c>
      <c r="B14" t="s">
        <v>182</v>
      </c>
      <c r="C14" t="s">
        <v>106</v>
      </c>
      <c r="D14">
        <v>5</v>
      </c>
      <c r="E14">
        <f t="shared" si="0"/>
        <v>5</v>
      </c>
      <c r="F14" t="e">
        <f t="shared" si="1"/>
        <v>#N/A</v>
      </c>
      <c r="G14" t="e">
        <f t="shared" si="2"/>
        <v>#N/A</v>
      </c>
    </row>
    <row r="15" spans="1:7" x14ac:dyDescent="0.25">
      <c r="A15">
        <v>5</v>
      </c>
      <c r="B15" t="s">
        <v>182</v>
      </c>
      <c r="C15" t="s">
        <v>111</v>
      </c>
      <c r="D15">
        <v>5</v>
      </c>
      <c r="E15" t="e">
        <f t="shared" si="0"/>
        <v>#N/A</v>
      </c>
      <c r="F15">
        <f t="shared" si="1"/>
        <v>5</v>
      </c>
      <c r="G15" t="e">
        <f t="shared" si="2"/>
        <v>#N/A</v>
      </c>
    </row>
    <row r="16" spans="1:7" x14ac:dyDescent="0.25">
      <c r="A16">
        <v>5</v>
      </c>
      <c r="B16" t="s">
        <v>182</v>
      </c>
      <c r="C16" t="s">
        <v>137</v>
      </c>
      <c r="D16">
        <v>5</v>
      </c>
      <c r="E16" t="e">
        <f t="shared" si="0"/>
        <v>#N/A</v>
      </c>
      <c r="F16" t="e">
        <f t="shared" si="1"/>
        <v>#N/A</v>
      </c>
      <c r="G16">
        <f t="shared" si="2"/>
        <v>5</v>
      </c>
    </row>
    <row r="17" spans="1:7" x14ac:dyDescent="0.25">
      <c r="A17">
        <v>6</v>
      </c>
      <c r="B17" t="s">
        <v>183</v>
      </c>
      <c r="C17" t="s">
        <v>106</v>
      </c>
      <c r="D17">
        <v>5</v>
      </c>
      <c r="E17">
        <f t="shared" si="0"/>
        <v>5</v>
      </c>
      <c r="F17" t="e">
        <f t="shared" si="1"/>
        <v>#N/A</v>
      </c>
      <c r="G17" t="e">
        <f t="shared" si="2"/>
        <v>#N/A</v>
      </c>
    </row>
    <row r="18" spans="1:7" x14ac:dyDescent="0.25">
      <c r="A18">
        <v>6</v>
      </c>
      <c r="B18" t="s">
        <v>183</v>
      </c>
      <c r="C18" t="s">
        <v>111</v>
      </c>
      <c r="D18">
        <v>4</v>
      </c>
      <c r="E18" t="e">
        <f t="shared" si="0"/>
        <v>#N/A</v>
      </c>
      <c r="F18">
        <f t="shared" si="1"/>
        <v>4</v>
      </c>
      <c r="G18" t="e">
        <f t="shared" si="2"/>
        <v>#N/A</v>
      </c>
    </row>
    <row r="19" spans="1:7" x14ac:dyDescent="0.25">
      <c r="A19">
        <v>6</v>
      </c>
      <c r="B19" t="s">
        <v>183</v>
      </c>
      <c r="C19" t="s">
        <v>137</v>
      </c>
      <c r="D19">
        <v>5</v>
      </c>
      <c r="E19" t="e">
        <f t="shared" si="0"/>
        <v>#N/A</v>
      </c>
      <c r="F19" t="e">
        <f t="shared" si="1"/>
        <v>#N/A</v>
      </c>
      <c r="G19">
        <f t="shared" si="2"/>
        <v>5</v>
      </c>
    </row>
    <row r="20" spans="1:7" x14ac:dyDescent="0.25">
      <c r="A20">
        <v>7</v>
      </c>
      <c r="B20" t="s">
        <v>184</v>
      </c>
      <c r="C20" t="s">
        <v>106</v>
      </c>
      <c r="D20">
        <v>5</v>
      </c>
      <c r="E20">
        <f t="shared" si="0"/>
        <v>5</v>
      </c>
      <c r="F20" t="e">
        <f t="shared" si="1"/>
        <v>#N/A</v>
      </c>
      <c r="G20" t="e">
        <f t="shared" si="2"/>
        <v>#N/A</v>
      </c>
    </row>
    <row r="21" spans="1:7" x14ac:dyDescent="0.25">
      <c r="A21">
        <v>7</v>
      </c>
      <c r="B21" t="s">
        <v>184</v>
      </c>
      <c r="C21" t="s">
        <v>111</v>
      </c>
      <c r="D21">
        <v>5</v>
      </c>
      <c r="E21" t="e">
        <f t="shared" si="0"/>
        <v>#N/A</v>
      </c>
      <c r="F21">
        <f t="shared" si="1"/>
        <v>5</v>
      </c>
      <c r="G21" t="e">
        <f t="shared" si="2"/>
        <v>#N/A</v>
      </c>
    </row>
    <row r="22" spans="1:7" x14ac:dyDescent="0.25">
      <c r="A22">
        <v>7</v>
      </c>
      <c r="B22" t="s">
        <v>184</v>
      </c>
      <c r="C22" t="s">
        <v>137</v>
      </c>
      <c r="D22">
        <v>5</v>
      </c>
      <c r="E22" t="e">
        <f t="shared" si="0"/>
        <v>#N/A</v>
      </c>
      <c r="F22" t="e">
        <f t="shared" si="1"/>
        <v>#N/A</v>
      </c>
      <c r="G22">
        <f t="shared" si="2"/>
        <v>5</v>
      </c>
    </row>
    <row r="23" spans="1:7" x14ac:dyDescent="0.25">
      <c r="A23">
        <v>8</v>
      </c>
      <c r="B23" t="s">
        <v>185</v>
      </c>
      <c r="C23" t="s">
        <v>106</v>
      </c>
      <c r="D23">
        <v>5</v>
      </c>
      <c r="E23">
        <f t="shared" si="0"/>
        <v>5</v>
      </c>
      <c r="F23" t="e">
        <f t="shared" si="1"/>
        <v>#N/A</v>
      </c>
      <c r="G23" t="e">
        <f t="shared" si="2"/>
        <v>#N/A</v>
      </c>
    </row>
    <row r="24" spans="1:7" x14ac:dyDescent="0.25">
      <c r="A24">
        <v>8</v>
      </c>
      <c r="B24" t="s">
        <v>185</v>
      </c>
      <c r="C24" t="s">
        <v>111</v>
      </c>
      <c r="D24">
        <v>5</v>
      </c>
      <c r="E24" t="e">
        <f t="shared" si="0"/>
        <v>#N/A</v>
      </c>
      <c r="F24">
        <f t="shared" si="1"/>
        <v>5</v>
      </c>
      <c r="G24" t="e">
        <f t="shared" si="2"/>
        <v>#N/A</v>
      </c>
    </row>
    <row r="25" spans="1:7" x14ac:dyDescent="0.25">
      <c r="A25">
        <v>8</v>
      </c>
      <c r="B25" t="s">
        <v>185</v>
      </c>
      <c r="C25" t="s">
        <v>137</v>
      </c>
      <c r="D25">
        <v>5</v>
      </c>
      <c r="E25" t="e">
        <f t="shared" si="0"/>
        <v>#N/A</v>
      </c>
      <c r="F25" t="e">
        <f t="shared" si="1"/>
        <v>#N/A</v>
      </c>
      <c r="G25">
        <f t="shared" si="2"/>
        <v>5</v>
      </c>
    </row>
    <row r="26" spans="1:7" x14ac:dyDescent="0.25">
      <c r="A26">
        <v>9</v>
      </c>
      <c r="B26" t="s">
        <v>186</v>
      </c>
      <c r="C26" t="s">
        <v>106</v>
      </c>
      <c r="D26">
        <v>5</v>
      </c>
      <c r="E26">
        <f t="shared" si="0"/>
        <v>5</v>
      </c>
      <c r="F26" t="e">
        <f t="shared" si="1"/>
        <v>#N/A</v>
      </c>
      <c r="G26" t="e">
        <f t="shared" si="2"/>
        <v>#N/A</v>
      </c>
    </row>
    <row r="27" spans="1:7" x14ac:dyDescent="0.25">
      <c r="A27">
        <v>9</v>
      </c>
      <c r="B27" t="s">
        <v>186</v>
      </c>
      <c r="C27" t="s">
        <v>111</v>
      </c>
      <c r="D27">
        <v>4</v>
      </c>
      <c r="E27" t="e">
        <f t="shared" si="0"/>
        <v>#N/A</v>
      </c>
      <c r="F27">
        <f t="shared" si="1"/>
        <v>4</v>
      </c>
      <c r="G27" t="e">
        <f t="shared" si="2"/>
        <v>#N/A</v>
      </c>
    </row>
    <row r="28" spans="1:7" x14ac:dyDescent="0.25">
      <c r="A28">
        <v>9</v>
      </c>
      <c r="B28" t="s">
        <v>186</v>
      </c>
      <c r="C28" t="s">
        <v>137</v>
      </c>
      <c r="D28">
        <v>5</v>
      </c>
      <c r="E28" t="e">
        <f t="shared" si="0"/>
        <v>#N/A</v>
      </c>
      <c r="F28" t="e">
        <f t="shared" si="1"/>
        <v>#N/A</v>
      </c>
      <c r="G28">
        <f t="shared" si="2"/>
        <v>5</v>
      </c>
    </row>
    <row r="29" spans="1:7" x14ac:dyDescent="0.25">
      <c r="A29">
        <v>10</v>
      </c>
      <c r="B29" t="s">
        <v>187</v>
      </c>
      <c r="C29" t="s">
        <v>106</v>
      </c>
      <c r="D29">
        <v>5</v>
      </c>
      <c r="E29">
        <f t="shared" si="0"/>
        <v>5</v>
      </c>
      <c r="F29" t="e">
        <f t="shared" si="1"/>
        <v>#N/A</v>
      </c>
      <c r="G29" t="e">
        <f t="shared" si="2"/>
        <v>#N/A</v>
      </c>
    </row>
    <row r="30" spans="1:7" x14ac:dyDescent="0.25">
      <c r="A30">
        <v>10</v>
      </c>
      <c r="B30" t="s">
        <v>187</v>
      </c>
      <c r="C30" t="s">
        <v>111</v>
      </c>
      <c r="D30">
        <v>4</v>
      </c>
      <c r="E30" t="e">
        <f t="shared" si="0"/>
        <v>#N/A</v>
      </c>
      <c r="F30">
        <f t="shared" si="1"/>
        <v>4</v>
      </c>
      <c r="G30" t="e">
        <f t="shared" si="2"/>
        <v>#N/A</v>
      </c>
    </row>
    <row r="31" spans="1:7" x14ac:dyDescent="0.25">
      <c r="A31">
        <v>10</v>
      </c>
      <c r="B31" t="s">
        <v>187</v>
      </c>
      <c r="C31" t="s">
        <v>137</v>
      </c>
      <c r="D31">
        <v>4</v>
      </c>
      <c r="E31" t="e">
        <f t="shared" si="0"/>
        <v>#N/A</v>
      </c>
      <c r="F31" t="e">
        <f t="shared" si="1"/>
        <v>#N/A</v>
      </c>
      <c r="G31">
        <f t="shared" si="2"/>
        <v>4</v>
      </c>
    </row>
    <row r="32" spans="1:7" x14ac:dyDescent="0.25">
      <c r="A32">
        <v>11</v>
      </c>
      <c r="B32" t="s">
        <v>188</v>
      </c>
      <c r="C32" t="s">
        <v>106</v>
      </c>
      <c r="D32">
        <v>5</v>
      </c>
      <c r="E32">
        <f t="shared" si="0"/>
        <v>5</v>
      </c>
      <c r="F32" t="e">
        <f t="shared" si="1"/>
        <v>#N/A</v>
      </c>
      <c r="G32" t="e">
        <f t="shared" si="2"/>
        <v>#N/A</v>
      </c>
    </row>
    <row r="33" spans="1:7" x14ac:dyDescent="0.25">
      <c r="A33">
        <v>11</v>
      </c>
      <c r="B33" t="s">
        <v>188</v>
      </c>
      <c r="C33" t="s">
        <v>111</v>
      </c>
      <c r="D33">
        <v>4</v>
      </c>
      <c r="E33" t="e">
        <f t="shared" si="0"/>
        <v>#N/A</v>
      </c>
      <c r="F33">
        <f t="shared" si="1"/>
        <v>4</v>
      </c>
      <c r="G33" t="e">
        <f t="shared" si="2"/>
        <v>#N/A</v>
      </c>
    </row>
    <row r="34" spans="1:7" x14ac:dyDescent="0.25">
      <c r="A34">
        <v>11</v>
      </c>
      <c r="B34" t="s">
        <v>188</v>
      </c>
      <c r="C34" t="s">
        <v>137</v>
      </c>
      <c r="D34">
        <v>5</v>
      </c>
      <c r="E34" t="e">
        <f t="shared" si="0"/>
        <v>#N/A</v>
      </c>
      <c r="F34" t="e">
        <f t="shared" si="1"/>
        <v>#N/A</v>
      </c>
      <c r="G34">
        <f t="shared" si="2"/>
        <v>5</v>
      </c>
    </row>
    <row r="35" spans="1:7" x14ac:dyDescent="0.25">
      <c r="A35">
        <v>12</v>
      </c>
      <c r="B35" t="s">
        <v>189</v>
      </c>
      <c r="C35" t="s">
        <v>106</v>
      </c>
      <c r="D35">
        <v>4</v>
      </c>
      <c r="E35">
        <f t="shared" si="0"/>
        <v>4</v>
      </c>
      <c r="F35" t="e">
        <f t="shared" si="1"/>
        <v>#N/A</v>
      </c>
      <c r="G35" t="e">
        <f t="shared" si="2"/>
        <v>#N/A</v>
      </c>
    </row>
    <row r="36" spans="1:7" x14ac:dyDescent="0.25">
      <c r="A36">
        <v>12</v>
      </c>
      <c r="B36" t="s">
        <v>189</v>
      </c>
      <c r="C36" t="s">
        <v>111</v>
      </c>
      <c r="D36">
        <v>4</v>
      </c>
      <c r="E36" t="e">
        <f t="shared" si="0"/>
        <v>#N/A</v>
      </c>
      <c r="F36">
        <f t="shared" si="1"/>
        <v>4</v>
      </c>
      <c r="G36" t="e">
        <f t="shared" si="2"/>
        <v>#N/A</v>
      </c>
    </row>
    <row r="37" spans="1:7" x14ac:dyDescent="0.25">
      <c r="A37">
        <v>12</v>
      </c>
      <c r="B37" t="s">
        <v>189</v>
      </c>
      <c r="C37" t="s">
        <v>137</v>
      </c>
      <c r="D37">
        <v>5</v>
      </c>
      <c r="E37" t="e">
        <f t="shared" si="0"/>
        <v>#N/A</v>
      </c>
      <c r="F37" t="e">
        <f t="shared" si="1"/>
        <v>#N/A</v>
      </c>
      <c r="G37">
        <f t="shared" si="2"/>
        <v>5</v>
      </c>
    </row>
    <row r="38" spans="1:7" x14ac:dyDescent="0.25">
      <c r="A38">
        <v>13</v>
      </c>
      <c r="B38" t="s">
        <v>190</v>
      </c>
      <c r="C38" t="s">
        <v>106</v>
      </c>
      <c r="D38">
        <v>4</v>
      </c>
      <c r="E38">
        <f t="shared" si="0"/>
        <v>4</v>
      </c>
      <c r="F38" t="e">
        <f t="shared" si="1"/>
        <v>#N/A</v>
      </c>
      <c r="G38" t="e">
        <f t="shared" si="2"/>
        <v>#N/A</v>
      </c>
    </row>
    <row r="39" spans="1:7" x14ac:dyDescent="0.25">
      <c r="A39">
        <v>13</v>
      </c>
      <c r="B39" t="s">
        <v>190</v>
      </c>
      <c r="C39" t="s">
        <v>111</v>
      </c>
      <c r="D39">
        <v>4</v>
      </c>
      <c r="E39" t="e">
        <f t="shared" si="0"/>
        <v>#N/A</v>
      </c>
      <c r="F39">
        <f t="shared" si="1"/>
        <v>4</v>
      </c>
      <c r="G39" t="e">
        <f t="shared" si="2"/>
        <v>#N/A</v>
      </c>
    </row>
    <row r="40" spans="1:7" x14ac:dyDescent="0.25">
      <c r="A40">
        <v>13</v>
      </c>
      <c r="B40" t="s">
        <v>190</v>
      </c>
      <c r="C40" t="s">
        <v>137</v>
      </c>
      <c r="D40">
        <v>5</v>
      </c>
      <c r="E40" t="e">
        <f t="shared" si="0"/>
        <v>#N/A</v>
      </c>
      <c r="F40" t="e">
        <f t="shared" si="1"/>
        <v>#N/A</v>
      </c>
      <c r="G40">
        <f t="shared" si="2"/>
        <v>5</v>
      </c>
    </row>
    <row r="41" spans="1:7" x14ac:dyDescent="0.25">
      <c r="A41">
        <v>14</v>
      </c>
      <c r="B41" t="s">
        <v>191</v>
      </c>
      <c r="C41" t="s">
        <v>106</v>
      </c>
      <c r="D41">
        <v>5</v>
      </c>
      <c r="E41">
        <f t="shared" si="0"/>
        <v>5</v>
      </c>
      <c r="F41" t="e">
        <f t="shared" si="1"/>
        <v>#N/A</v>
      </c>
      <c r="G41" t="e">
        <f t="shared" si="2"/>
        <v>#N/A</v>
      </c>
    </row>
    <row r="42" spans="1:7" x14ac:dyDescent="0.25">
      <c r="A42">
        <v>14</v>
      </c>
      <c r="B42" t="s">
        <v>191</v>
      </c>
      <c r="C42" t="s">
        <v>111</v>
      </c>
      <c r="D42">
        <v>4</v>
      </c>
      <c r="E42" t="e">
        <f t="shared" si="0"/>
        <v>#N/A</v>
      </c>
      <c r="F42">
        <f t="shared" si="1"/>
        <v>4</v>
      </c>
      <c r="G42" t="e">
        <f t="shared" si="2"/>
        <v>#N/A</v>
      </c>
    </row>
    <row r="43" spans="1:7" x14ac:dyDescent="0.25">
      <c r="A43">
        <v>14</v>
      </c>
      <c r="B43" t="s">
        <v>191</v>
      </c>
      <c r="C43" t="s">
        <v>137</v>
      </c>
      <c r="D43">
        <v>5</v>
      </c>
      <c r="E43" t="e">
        <f t="shared" si="0"/>
        <v>#N/A</v>
      </c>
      <c r="F43" t="e">
        <f t="shared" si="1"/>
        <v>#N/A</v>
      </c>
      <c r="G43">
        <f t="shared" si="2"/>
        <v>5</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8"/>
  <sheetViews>
    <sheetView workbookViewId="0">
      <selection activeCell="B1" sqref="B1:D58"/>
    </sheetView>
  </sheetViews>
  <sheetFormatPr defaultRowHeight="15" x14ac:dyDescent="0.25"/>
  <sheetData>
    <row r="1" spans="1:7" x14ac:dyDescent="0.25">
      <c r="A1" s="1" t="s">
        <v>155</v>
      </c>
      <c r="B1" s="1" t="s">
        <v>156</v>
      </c>
      <c r="C1" s="1" t="s">
        <v>157</v>
      </c>
      <c r="D1" s="1" t="s">
        <v>158</v>
      </c>
    </row>
    <row r="2" spans="1:7" x14ac:dyDescent="0.25">
      <c r="A2">
        <v>1</v>
      </c>
      <c r="B2" t="s">
        <v>159</v>
      </c>
      <c r="C2" t="s">
        <v>106</v>
      </c>
      <c r="D2">
        <v>5</v>
      </c>
      <c r="E2">
        <f>IF($C2="Alex Watkins",$D2,NA())</f>
        <v>5</v>
      </c>
      <c r="F2" t="e">
        <f>IF($C2="Eleni Poupaki",$D2,NA())</f>
        <v>#N/A</v>
      </c>
      <c r="G2" t="e">
        <f>IF($C2="Randall Higuchi",$D2,NA())</f>
        <v>#N/A</v>
      </c>
    </row>
    <row r="3" spans="1:7" x14ac:dyDescent="0.25">
      <c r="A3">
        <v>1</v>
      </c>
      <c r="B3" t="s">
        <v>159</v>
      </c>
      <c r="C3" t="s">
        <v>111</v>
      </c>
      <c r="D3">
        <v>3</v>
      </c>
      <c r="E3" t="e">
        <f t="shared" ref="E3:E58" si="0">IF($C3="Alex Watkins",$D3,NA())</f>
        <v>#N/A</v>
      </c>
      <c r="F3">
        <f t="shared" ref="F3:F58" si="1">IF($C3="Eleni Poupaki",$D3,NA())</f>
        <v>3</v>
      </c>
      <c r="G3" t="e">
        <f t="shared" ref="G3:G58" si="2">IF($C3="Randall Higuchi",$D3,NA())</f>
        <v>#N/A</v>
      </c>
    </row>
    <row r="4" spans="1:7" x14ac:dyDescent="0.25">
      <c r="A4">
        <v>1</v>
      </c>
      <c r="B4" t="s">
        <v>159</v>
      </c>
      <c r="C4" t="s">
        <v>137</v>
      </c>
      <c r="D4">
        <v>5</v>
      </c>
      <c r="E4" t="e">
        <f t="shared" si="0"/>
        <v>#N/A</v>
      </c>
      <c r="F4" t="e">
        <f t="shared" si="1"/>
        <v>#N/A</v>
      </c>
      <c r="G4">
        <f t="shared" si="2"/>
        <v>5</v>
      </c>
    </row>
    <row r="5" spans="1:7" x14ac:dyDescent="0.25">
      <c r="A5">
        <v>2</v>
      </c>
      <c r="B5" t="s">
        <v>160</v>
      </c>
      <c r="C5" t="s">
        <v>106</v>
      </c>
      <c r="D5">
        <v>5</v>
      </c>
      <c r="E5">
        <f t="shared" si="0"/>
        <v>5</v>
      </c>
      <c r="F5" t="e">
        <f t="shared" si="1"/>
        <v>#N/A</v>
      </c>
      <c r="G5" t="e">
        <f t="shared" si="2"/>
        <v>#N/A</v>
      </c>
    </row>
    <row r="6" spans="1:7" x14ac:dyDescent="0.25">
      <c r="A6">
        <v>2</v>
      </c>
      <c r="B6" t="s">
        <v>160</v>
      </c>
      <c r="C6" t="s">
        <v>111</v>
      </c>
      <c r="D6">
        <v>5</v>
      </c>
      <c r="E6" t="e">
        <f t="shared" si="0"/>
        <v>#N/A</v>
      </c>
      <c r="F6">
        <f t="shared" si="1"/>
        <v>5</v>
      </c>
      <c r="G6" t="e">
        <f t="shared" si="2"/>
        <v>#N/A</v>
      </c>
    </row>
    <row r="7" spans="1:7" x14ac:dyDescent="0.25">
      <c r="A7">
        <v>2</v>
      </c>
      <c r="B7" t="s">
        <v>160</v>
      </c>
      <c r="C7" t="s">
        <v>137</v>
      </c>
      <c r="D7">
        <v>2</v>
      </c>
      <c r="E7" t="e">
        <f t="shared" si="0"/>
        <v>#N/A</v>
      </c>
      <c r="F7" t="e">
        <f t="shared" si="1"/>
        <v>#N/A</v>
      </c>
      <c r="G7">
        <f t="shared" si="2"/>
        <v>2</v>
      </c>
    </row>
    <row r="8" spans="1:7" x14ac:dyDescent="0.25">
      <c r="A8">
        <v>3</v>
      </c>
      <c r="B8" t="s">
        <v>161</v>
      </c>
      <c r="C8" t="s">
        <v>106</v>
      </c>
      <c r="D8">
        <v>5</v>
      </c>
      <c r="E8">
        <f t="shared" si="0"/>
        <v>5</v>
      </c>
      <c r="F8" t="e">
        <f t="shared" si="1"/>
        <v>#N/A</v>
      </c>
      <c r="G8" t="e">
        <f t="shared" si="2"/>
        <v>#N/A</v>
      </c>
    </row>
    <row r="9" spans="1:7" x14ac:dyDescent="0.25">
      <c r="A9">
        <v>3</v>
      </c>
      <c r="B9" t="s">
        <v>161</v>
      </c>
      <c r="C9" t="s">
        <v>111</v>
      </c>
      <c r="D9">
        <v>3</v>
      </c>
      <c r="E9" t="e">
        <f t="shared" si="0"/>
        <v>#N/A</v>
      </c>
      <c r="F9">
        <f t="shared" si="1"/>
        <v>3</v>
      </c>
      <c r="G9" t="e">
        <f t="shared" si="2"/>
        <v>#N/A</v>
      </c>
    </row>
    <row r="10" spans="1:7" x14ac:dyDescent="0.25">
      <c r="A10">
        <v>3</v>
      </c>
      <c r="B10" t="s">
        <v>161</v>
      </c>
      <c r="C10" t="s">
        <v>137</v>
      </c>
      <c r="D10">
        <v>5</v>
      </c>
      <c r="E10" t="e">
        <f t="shared" si="0"/>
        <v>#N/A</v>
      </c>
      <c r="F10" t="e">
        <f t="shared" si="1"/>
        <v>#N/A</v>
      </c>
      <c r="G10">
        <f t="shared" si="2"/>
        <v>5</v>
      </c>
    </row>
    <row r="11" spans="1:7" x14ac:dyDescent="0.25">
      <c r="A11">
        <v>4</v>
      </c>
      <c r="B11" t="s">
        <v>162</v>
      </c>
      <c r="C11" t="s">
        <v>106</v>
      </c>
      <c r="D11">
        <v>5</v>
      </c>
      <c r="E11">
        <f t="shared" si="0"/>
        <v>5</v>
      </c>
      <c r="F11" t="e">
        <f t="shared" si="1"/>
        <v>#N/A</v>
      </c>
      <c r="G11" t="e">
        <f t="shared" si="2"/>
        <v>#N/A</v>
      </c>
    </row>
    <row r="12" spans="1:7" x14ac:dyDescent="0.25">
      <c r="A12">
        <v>4</v>
      </c>
      <c r="B12" t="s">
        <v>162</v>
      </c>
      <c r="C12" t="s">
        <v>111</v>
      </c>
      <c r="D12">
        <v>5</v>
      </c>
      <c r="E12" t="e">
        <f t="shared" si="0"/>
        <v>#N/A</v>
      </c>
      <c r="F12">
        <f t="shared" si="1"/>
        <v>5</v>
      </c>
      <c r="G12" t="e">
        <f t="shared" si="2"/>
        <v>#N/A</v>
      </c>
    </row>
    <row r="13" spans="1:7" x14ac:dyDescent="0.25">
      <c r="A13">
        <v>4</v>
      </c>
      <c r="B13" t="s">
        <v>162</v>
      </c>
      <c r="C13" t="s">
        <v>137</v>
      </c>
      <c r="D13">
        <v>5</v>
      </c>
      <c r="E13" t="e">
        <f t="shared" si="0"/>
        <v>#N/A</v>
      </c>
      <c r="F13" t="e">
        <f t="shared" si="1"/>
        <v>#N/A</v>
      </c>
      <c r="G13">
        <f t="shared" si="2"/>
        <v>5</v>
      </c>
    </row>
    <row r="14" spans="1:7" x14ac:dyDescent="0.25">
      <c r="A14">
        <v>5</v>
      </c>
      <c r="B14" t="s">
        <v>163</v>
      </c>
      <c r="C14" t="s">
        <v>106</v>
      </c>
      <c r="D14">
        <v>5</v>
      </c>
      <c r="E14">
        <f t="shared" si="0"/>
        <v>5</v>
      </c>
      <c r="F14" t="e">
        <f t="shared" si="1"/>
        <v>#N/A</v>
      </c>
      <c r="G14" t="e">
        <f t="shared" si="2"/>
        <v>#N/A</v>
      </c>
    </row>
    <row r="15" spans="1:7" x14ac:dyDescent="0.25">
      <c r="A15">
        <v>5</v>
      </c>
      <c r="B15" t="s">
        <v>163</v>
      </c>
      <c r="C15" t="s">
        <v>111</v>
      </c>
      <c r="D15">
        <v>5</v>
      </c>
      <c r="E15" t="e">
        <f t="shared" si="0"/>
        <v>#N/A</v>
      </c>
      <c r="F15">
        <f t="shared" si="1"/>
        <v>5</v>
      </c>
      <c r="G15" t="e">
        <f t="shared" si="2"/>
        <v>#N/A</v>
      </c>
    </row>
    <row r="16" spans="1:7" x14ac:dyDescent="0.25">
      <c r="A16">
        <v>5</v>
      </c>
      <c r="B16" t="s">
        <v>163</v>
      </c>
      <c r="C16" t="s">
        <v>137</v>
      </c>
      <c r="D16">
        <v>5</v>
      </c>
      <c r="E16" t="e">
        <f t="shared" si="0"/>
        <v>#N/A</v>
      </c>
      <c r="F16" t="e">
        <f t="shared" si="1"/>
        <v>#N/A</v>
      </c>
      <c r="G16">
        <f t="shared" si="2"/>
        <v>5</v>
      </c>
    </row>
    <row r="17" spans="1:7" x14ac:dyDescent="0.25">
      <c r="A17">
        <v>6</v>
      </c>
      <c r="B17" t="s">
        <v>164</v>
      </c>
      <c r="C17" t="s">
        <v>106</v>
      </c>
      <c r="D17">
        <v>5</v>
      </c>
      <c r="E17">
        <f t="shared" si="0"/>
        <v>5</v>
      </c>
      <c r="F17" t="e">
        <f t="shared" si="1"/>
        <v>#N/A</v>
      </c>
      <c r="G17" t="e">
        <f t="shared" si="2"/>
        <v>#N/A</v>
      </c>
    </row>
    <row r="18" spans="1:7" x14ac:dyDescent="0.25">
      <c r="A18">
        <v>6</v>
      </c>
      <c r="B18" t="s">
        <v>164</v>
      </c>
      <c r="C18" t="s">
        <v>111</v>
      </c>
      <c r="D18">
        <v>5</v>
      </c>
      <c r="E18" t="e">
        <f t="shared" si="0"/>
        <v>#N/A</v>
      </c>
      <c r="F18">
        <f t="shared" si="1"/>
        <v>5</v>
      </c>
      <c r="G18" t="e">
        <f t="shared" si="2"/>
        <v>#N/A</v>
      </c>
    </row>
    <row r="19" spans="1:7" x14ac:dyDescent="0.25">
      <c r="A19">
        <v>6</v>
      </c>
      <c r="B19" t="s">
        <v>164</v>
      </c>
      <c r="C19" t="s">
        <v>137</v>
      </c>
      <c r="D19">
        <v>5</v>
      </c>
      <c r="E19" t="e">
        <f t="shared" si="0"/>
        <v>#N/A</v>
      </c>
      <c r="F19" t="e">
        <f t="shared" si="1"/>
        <v>#N/A</v>
      </c>
      <c r="G19">
        <f t="shared" si="2"/>
        <v>5</v>
      </c>
    </row>
    <row r="20" spans="1:7" x14ac:dyDescent="0.25">
      <c r="A20">
        <v>7</v>
      </c>
      <c r="B20" t="s">
        <v>165</v>
      </c>
      <c r="C20" t="s">
        <v>106</v>
      </c>
      <c r="D20">
        <v>5</v>
      </c>
      <c r="E20">
        <f t="shared" si="0"/>
        <v>5</v>
      </c>
      <c r="F20" t="e">
        <f t="shared" si="1"/>
        <v>#N/A</v>
      </c>
      <c r="G20" t="e">
        <f t="shared" si="2"/>
        <v>#N/A</v>
      </c>
    </row>
    <row r="21" spans="1:7" x14ac:dyDescent="0.25">
      <c r="A21">
        <v>7</v>
      </c>
      <c r="B21" t="s">
        <v>165</v>
      </c>
      <c r="C21" t="s">
        <v>111</v>
      </c>
      <c r="D21">
        <v>4</v>
      </c>
      <c r="E21" t="e">
        <f t="shared" si="0"/>
        <v>#N/A</v>
      </c>
      <c r="F21">
        <f t="shared" si="1"/>
        <v>4</v>
      </c>
      <c r="G21" t="e">
        <f t="shared" si="2"/>
        <v>#N/A</v>
      </c>
    </row>
    <row r="22" spans="1:7" x14ac:dyDescent="0.25">
      <c r="A22">
        <v>7</v>
      </c>
      <c r="B22" t="s">
        <v>165</v>
      </c>
      <c r="C22" t="s">
        <v>137</v>
      </c>
      <c r="D22">
        <v>3</v>
      </c>
      <c r="E22" t="e">
        <f t="shared" si="0"/>
        <v>#N/A</v>
      </c>
      <c r="F22" t="e">
        <f t="shared" si="1"/>
        <v>#N/A</v>
      </c>
      <c r="G22">
        <f t="shared" si="2"/>
        <v>3</v>
      </c>
    </row>
    <row r="23" spans="1:7" x14ac:dyDescent="0.25">
      <c r="A23">
        <v>8</v>
      </c>
      <c r="B23" t="s">
        <v>166</v>
      </c>
      <c r="C23" t="s">
        <v>106</v>
      </c>
      <c r="D23">
        <v>3</v>
      </c>
      <c r="E23">
        <f t="shared" si="0"/>
        <v>3</v>
      </c>
      <c r="F23" t="e">
        <f t="shared" si="1"/>
        <v>#N/A</v>
      </c>
      <c r="G23" t="e">
        <f t="shared" si="2"/>
        <v>#N/A</v>
      </c>
    </row>
    <row r="24" spans="1:7" x14ac:dyDescent="0.25">
      <c r="A24">
        <v>8</v>
      </c>
      <c r="B24" t="s">
        <v>166</v>
      </c>
      <c r="C24" t="s">
        <v>111</v>
      </c>
      <c r="D24">
        <v>1</v>
      </c>
      <c r="E24" t="e">
        <f t="shared" si="0"/>
        <v>#N/A</v>
      </c>
      <c r="F24">
        <f t="shared" si="1"/>
        <v>1</v>
      </c>
      <c r="G24" t="e">
        <f t="shared" si="2"/>
        <v>#N/A</v>
      </c>
    </row>
    <row r="25" spans="1:7" x14ac:dyDescent="0.25">
      <c r="A25">
        <v>8</v>
      </c>
      <c r="B25" t="s">
        <v>166</v>
      </c>
      <c r="C25" t="s">
        <v>137</v>
      </c>
      <c r="D25">
        <v>4</v>
      </c>
      <c r="E25" t="e">
        <f t="shared" si="0"/>
        <v>#N/A</v>
      </c>
      <c r="F25" t="e">
        <f t="shared" si="1"/>
        <v>#N/A</v>
      </c>
      <c r="G25">
        <f t="shared" si="2"/>
        <v>4</v>
      </c>
    </row>
    <row r="26" spans="1:7" x14ac:dyDescent="0.25">
      <c r="A26">
        <v>9</v>
      </c>
      <c r="B26" t="s">
        <v>167</v>
      </c>
      <c r="C26" t="s">
        <v>106</v>
      </c>
      <c r="D26">
        <v>5</v>
      </c>
      <c r="E26">
        <f t="shared" si="0"/>
        <v>5</v>
      </c>
      <c r="F26" t="e">
        <f t="shared" si="1"/>
        <v>#N/A</v>
      </c>
      <c r="G26" t="e">
        <f t="shared" si="2"/>
        <v>#N/A</v>
      </c>
    </row>
    <row r="27" spans="1:7" x14ac:dyDescent="0.25">
      <c r="A27">
        <v>9</v>
      </c>
      <c r="B27" t="s">
        <v>167</v>
      </c>
      <c r="C27" t="s">
        <v>111</v>
      </c>
      <c r="D27">
        <v>4</v>
      </c>
      <c r="E27" t="e">
        <f t="shared" si="0"/>
        <v>#N/A</v>
      </c>
      <c r="F27">
        <f t="shared" si="1"/>
        <v>4</v>
      </c>
      <c r="G27" t="e">
        <f t="shared" si="2"/>
        <v>#N/A</v>
      </c>
    </row>
    <row r="28" spans="1:7" x14ac:dyDescent="0.25">
      <c r="A28">
        <v>9</v>
      </c>
      <c r="B28" t="s">
        <v>167</v>
      </c>
      <c r="C28" t="s">
        <v>137</v>
      </c>
      <c r="D28">
        <v>5</v>
      </c>
      <c r="E28" t="e">
        <f t="shared" si="0"/>
        <v>#N/A</v>
      </c>
      <c r="F28" t="e">
        <f t="shared" si="1"/>
        <v>#N/A</v>
      </c>
      <c r="G28">
        <f t="shared" si="2"/>
        <v>5</v>
      </c>
    </row>
    <row r="29" spans="1:7" x14ac:dyDescent="0.25">
      <c r="A29">
        <v>10</v>
      </c>
      <c r="B29" t="s">
        <v>168</v>
      </c>
      <c r="C29" t="s">
        <v>106</v>
      </c>
      <c r="D29">
        <v>5</v>
      </c>
      <c r="E29">
        <f t="shared" si="0"/>
        <v>5</v>
      </c>
      <c r="F29" t="e">
        <f t="shared" si="1"/>
        <v>#N/A</v>
      </c>
      <c r="G29" t="e">
        <f t="shared" si="2"/>
        <v>#N/A</v>
      </c>
    </row>
    <row r="30" spans="1:7" x14ac:dyDescent="0.25">
      <c r="A30">
        <v>10</v>
      </c>
      <c r="B30" t="s">
        <v>168</v>
      </c>
      <c r="C30" t="s">
        <v>111</v>
      </c>
      <c r="D30">
        <v>2</v>
      </c>
      <c r="E30" t="e">
        <f t="shared" si="0"/>
        <v>#N/A</v>
      </c>
      <c r="F30">
        <f t="shared" si="1"/>
        <v>2</v>
      </c>
      <c r="G30" t="e">
        <f t="shared" si="2"/>
        <v>#N/A</v>
      </c>
    </row>
    <row r="31" spans="1:7" x14ac:dyDescent="0.25">
      <c r="A31">
        <v>10</v>
      </c>
      <c r="B31" t="s">
        <v>168</v>
      </c>
      <c r="C31" t="s">
        <v>137</v>
      </c>
      <c r="D31">
        <v>2</v>
      </c>
      <c r="E31" t="e">
        <f t="shared" si="0"/>
        <v>#N/A</v>
      </c>
      <c r="F31" t="e">
        <f t="shared" si="1"/>
        <v>#N/A</v>
      </c>
      <c r="G31">
        <f t="shared" si="2"/>
        <v>2</v>
      </c>
    </row>
    <row r="32" spans="1:7" x14ac:dyDescent="0.25">
      <c r="A32">
        <v>11</v>
      </c>
      <c r="B32" t="s">
        <v>169</v>
      </c>
      <c r="C32" t="s">
        <v>106</v>
      </c>
      <c r="D32">
        <v>5</v>
      </c>
      <c r="E32">
        <f t="shared" si="0"/>
        <v>5</v>
      </c>
      <c r="F32" t="e">
        <f t="shared" si="1"/>
        <v>#N/A</v>
      </c>
      <c r="G32" t="e">
        <f t="shared" si="2"/>
        <v>#N/A</v>
      </c>
    </row>
    <row r="33" spans="1:7" x14ac:dyDescent="0.25">
      <c r="A33">
        <v>11</v>
      </c>
      <c r="B33" t="s">
        <v>169</v>
      </c>
      <c r="C33" t="s">
        <v>111</v>
      </c>
      <c r="D33">
        <v>3</v>
      </c>
      <c r="E33" t="e">
        <f t="shared" si="0"/>
        <v>#N/A</v>
      </c>
      <c r="F33">
        <f t="shared" si="1"/>
        <v>3</v>
      </c>
      <c r="G33" t="e">
        <f t="shared" si="2"/>
        <v>#N/A</v>
      </c>
    </row>
    <row r="34" spans="1:7" x14ac:dyDescent="0.25">
      <c r="A34">
        <v>11</v>
      </c>
      <c r="B34" t="s">
        <v>169</v>
      </c>
      <c r="C34" t="s">
        <v>137</v>
      </c>
      <c r="D34">
        <v>5</v>
      </c>
      <c r="E34" t="e">
        <f t="shared" si="0"/>
        <v>#N/A</v>
      </c>
      <c r="F34" t="e">
        <f t="shared" si="1"/>
        <v>#N/A</v>
      </c>
      <c r="G34">
        <f t="shared" si="2"/>
        <v>5</v>
      </c>
    </row>
    <row r="35" spans="1:7" x14ac:dyDescent="0.25">
      <c r="A35">
        <v>12</v>
      </c>
      <c r="B35" t="s">
        <v>170</v>
      </c>
      <c r="C35" t="s">
        <v>106</v>
      </c>
      <c r="D35">
        <v>5</v>
      </c>
      <c r="E35">
        <f t="shared" si="0"/>
        <v>5</v>
      </c>
      <c r="F35" t="e">
        <f t="shared" si="1"/>
        <v>#N/A</v>
      </c>
      <c r="G35" t="e">
        <f t="shared" si="2"/>
        <v>#N/A</v>
      </c>
    </row>
    <row r="36" spans="1:7" x14ac:dyDescent="0.25">
      <c r="A36">
        <v>12</v>
      </c>
      <c r="B36" t="s">
        <v>170</v>
      </c>
      <c r="C36" t="s">
        <v>111</v>
      </c>
      <c r="D36">
        <v>3</v>
      </c>
      <c r="E36" t="e">
        <f t="shared" si="0"/>
        <v>#N/A</v>
      </c>
      <c r="F36">
        <f t="shared" si="1"/>
        <v>3</v>
      </c>
      <c r="G36" t="e">
        <f t="shared" si="2"/>
        <v>#N/A</v>
      </c>
    </row>
    <row r="37" spans="1:7" x14ac:dyDescent="0.25">
      <c r="A37">
        <v>12</v>
      </c>
      <c r="B37" t="s">
        <v>170</v>
      </c>
      <c r="C37" t="s">
        <v>137</v>
      </c>
      <c r="D37">
        <v>3</v>
      </c>
      <c r="E37" t="e">
        <f t="shared" si="0"/>
        <v>#N/A</v>
      </c>
      <c r="F37" t="e">
        <f t="shared" si="1"/>
        <v>#N/A</v>
      </c>
      <c r="G37">
        <f t="shared" si="2"/>
        <v>3</v>
      </c>
    </row>
    <row r="38" spans="1:7" x14ac:dyDescent="0.25">
      <c r="A38">
        <v>13</v>
      </c>
      <c r="B38" t="s">
        <v>171</v>
      </c>
      <c r="C38" t="s">
        <v>106</v>
      </c>
      <c r="D38">
        <v>5</v>
      </c>
      <c r="E38">
        <f t="shared" si="0"/>
        <v>5</v>
      </c>
      <c r="F38" t="e">
        <f t="shared" si="1"/>
        <v>#N/A</v>
      </c>
      <c r="G38" t="e">
        <f t="shared" si="2"/>
        <v>#N/A</v>
      </c>
    </row>
    <row r="39" spans="1:7" x14ac:dyDescent="0.25">
      <c r="A39">
        <v>13</v>
      </c>
      <c r="B39" t="s">
        <v>171</v>
      </c>
      <c r="C39" t="s">
        <v>111</v>
      </c>
      <c r="D39">
        <v>4</v>
      </c>
      <c r="E39" t="e">
        <f t="shared" si="0"/>
        <v>#N/A</v>
      </c>
      <c r="F39">
        <f t="shared" si="1"/>
        <v>4</v>
      </c>
      <c r="G39" t="e">
        <f t="shared" si="2"/>
        <v>#N/A</v>
      </c>
    </row>
    <row r="40" spans="1:7" x14ac:dyDescent="0.25">
      <c r="A40">
        <v>13</v>
      </c>
      <c r="B40" t="s">
        <v>171</v>
      </c>
      <c r="C40" t="s">
        <v>137</v>
      </c>
      <c r="D40">
        <v>5</v>
      </c>
      <c r="E40" t="e">
        <f t="shared" si="0"/>
        <v>#N/A</v>
      </c>
      <c r="F40" t="e">
        <f t="shared" si="1"/>
        <v>#N/A</v>
      </c>
      <c r="G40">
        <f t="shared" si="2"/>
        <v>5</v>
      </c>
    </row>
    <row r="41" spans="1:7" x14ac:dyDescent="0.25">
      <c r="A41">
        <v>14</v>
      </c>
      <c r="B41" t="s">
        <v>172</v>
      </c>
      <c r="C41" t="s">
        <v>106</v>
      </c>
      <c r="D41">
        <v>5</v>
      </c>
      <c r="E41">
        <f t="shared" si="0"/>
        <v>5</v>
      </c>
      <c r="F41" t="e">
        <f t="shared" si="1"/>
        <v>#N/A</v>
      </c>
      <c r="G41" t="e">
        <f t="shared" si="2"/>
        <v>#N/A</v>
      </c>
    </row>
    <row r="42" spans="1:7" x14ac:dyDescent="0.25">
      <c r="A42">
        <v>14</v>
      </c>
      <c r="B42" t="s">
        <v>172</v>
      </c>
      <c r="C42" t="s">
        <v>111</v>
      </c>
      <c r="D42">
        <v>4</v>
      </c>
      <c r="E42" t="e">
        <f t="shared" si="0"/>
        <v>#N/A</v>
      </c>
      <c r="F42">
        <f t="shared" si="1"/>
        <v>4</v>
      </c>
      <c r="G42" t="e">
        <f t="shared" si="2"/>
        <v>#N/A</v>
      </c>
    </row>
    <row r="43" spans="1:7" x14ac:dyDescent="0.25">
      <c r="A43">
        <v>14</v>
      </c>
      <c r="B43" t="s">
        <v>172</v>
      </c>
      <c r="C43" t="s">
        <v>137</v>
      </c>
      <c r="D43">
        <v>5</v>
      </c>
      <c r="E43" t="e">
        <f t="shared" si="0"/>
        <v>#N/A</v>
      </c>
      <c r="F43" t="e">
        <f t="shared" si="1"/>
        <v>#N/A</v>
      </c>
      <c r="G43">
        <f t="shared" si="2"/>
        <v>5</v>
      </c>
    </row>
    <row r="44" spans="1:7" x14ac:dyDescent="0.25">
      <c r="A44">
        <v>15</v>
      </c>
      <c r="B44" t="s">
        <v>173</v>
      </c>
      <c r="C44" t="s">
        <v>106</v>
      </c>
      <c r="D44">
        <v>5</v>
      </c>
      <c r="E44">
        <f t="shared" si="0"/>
        <v>5</v>
      </c>
      <c r="F44" t="e">
        <f t="shared" si="1"/>
        <v>#N/A</v>
      </c>
      <c r="G44" t="e">
        <f t="shared" si="2"/>
        <v>#N/A</v>
      </c>
    </row>
    <row r="45" spans="1:7" x14ac:dyDescent="0.25">
      <c r="A45">
        <v>15</v>
      </c>
      <c r="B45" t="s">
        <v>173</v>
      </c>
      <c r="C45" t="s">
        <v>111</v>
      </c>
      <c r="D45">
        <v>5</v>
      </c>
      <c r="E45" t="e">
        <f t="shared" si="0"/>
        <v>#N/A</v>
      </c>
      <c r="F45">
        <f t="shared" si="1"/>
        <v>5</v>
      </c>
      <c r="G45" t="e">
        <f t="shared" si="2"/>
        <v>#N/A</v>
      </c>
    </row>
    <row r="46" spans="1:7" x14ac:dyDescent="0.25">
      <c r="A46">
        <v>15</v>
      </c>
      <c r="B46" t="s">
        <v>173</v>
      </c>
      <c r="C46" t="s">
        <v>137</v>
      </c>
      <c r="D46">
        <v>3</v>
      </c>
      <c r="E46" t="e">
        <f t="shared" si="0"/>
        <v>#N/A</v>
      </c>
      <c r="F46" t="e">
        <f t="shared" si="1"/>
        <v>#N/A</v>
      </c>
      <c r="G46">
        <f t="shared" si="2"/>
        <v>3</v>
      </c>
    </row>
    <row r="47" spans="1:7" x14ac:dyDescent="0.25">
      <c r="A47">
        <v>16</v>
      </c>
      <c r="B47" t="s">
        <v>174</v>
      </c>
      <c r="C47" t="s">
        <v>106</v>
      </c>
      <c r="D47">
        <v>5</v>
      </c>
      <c r="E47">
        <f t="shared" si="0"/>
        <v>5</v>
      </c>
      <c r="F47" t="e">
        <f t="shared" si="1"/>
        <v>#N/A</v>
      </c>
      <c r="G47" t="e">
        <f t="shared" si="2"/>
        <v>#N/A</v>
      </c>
    </row>
    <row r="48" spans="1:7" x14ac:dyDescent="0.25">
      <c r="A48">
        <v>16</v>
      </c>
      <c r="B48" t="s">
        <v>174</v>
      </c>
      <c r="C48" t="s">
        <v>111</v>
      </c>
      <c r="D48">
        <v>2</v>
      </c>
      <c r="E48" t="e">
        <f t="shared" si="0"/>
        <v>#N/A</v>
      </c>
      <c r="F48">
        <f t="shared" si="1"/>
        <v>2</v>
      </c>
      <c r="G48" t="e">
        <f t="shared" si="2"/>
        <v>#N/A</v>
      </c>
    </row>
    <row r="49" spans="1:7" x14ac:dyDescent="0.25">
      <c r="A49">
        <v>16</v>
      </c>
      <c r="B49" t="s">
        <v>174</v>
      </c>
      <c r="C49" t="s">
        <v>137</v>
      </c>
      <c r="D49">
        <v>2</v>
      </c>
      <c r="E49" t="e">
        <f t="shared" si="0"/>
        <v>#N/A</v>
      </c>
      <c r="F49" t="e">
        <f t="shared" si="1"/>
        <v>#N/A</v>
      </c>
      <c r="G49">
        <f t="shared" si="2"/>
        <v>2</v>
      </c>
    </row>
    <row r="50" spans="1:7" x14ac:dyDescent="0.25">
      <c r="A50">
        <v>17</v>
      </c>
      <c r="B50" t="s">
        <v>175</v>
      </c>
      <c r="C50" t="s">
        <v>106</v>
      </c>
      <c r="D50">
        <v>5</v>
      </c>
      <c r="E50">
        <f t="shared" si="0"/>
        <v>5</v>
      </c>
      <c r="F50" t="e">
        <f t="shared" si="1"/>
        <v>#N/A</v>
      </c>
      <c r="G50" t="e">
        <f t="shared" si="2"/>
        <v>#N/A</v>
      </c>
    </row>
    <row r="51" spans="1:7" x14ac:dyDescent="0.25">
      <c r="A51">
        <v>17</v>
      </c>
      <c r="B51" t="s">
        <v>175</v>
      </c>
      <c r="C51" t="s">
        <v>111</v>
      </c>
      <c r="D51">
        <v>3</v>
      </c>
      <c r="E51" t="e">
        <f t="shared" si="0"/>
        <v>#N/A</v>
      </c>
      <c r="F51">
        <f t="shared" si="1"/>
        <v>3</v>
      </c>
      <c r="G51" t="e">
        <f t="shared" si="2"/>
        <v>#N/A</v>
      </c>
    </row>
    <row r="52" spans="1:7" x14ac:dyDescent="0.25">
      <c r="A52">
        <v>17</v>
      </c>
      <c r="B52" t="s">
        <v>175</v>
      </c>
      <c r="C52" t="s">
        <v>137</v>
      </c>
      <c r="D52">
        <v>3</v>
      </c>
      <c r="E52" t="e">
        <f t="shared" si="0"/>
        <v>#N/A</v>
      </c>
      <c r="F52" t="e">
        <f t="shared" si="1"/>
        <v>#N/A</v>
      </c>
      <c r="G52">
        <f t="shared" si="2"/>
        <v>3</v>
      </c>
    </row>
    <row r="53" spans="1:7" x14ac:dyDescent="0.25">
      <c r="A53">
        <v>18</v>
      </c>
      <c r="B53" t="s">
        <v>176</v>
      </c>
      <c r="C53" t="s">
        <v>106</v>
      </c>
      <c r="D53">
        <v>5</v>
      </c>
      <c r="E53">
        <f t="shared" si="0"/>
        <v>5</v>
      </c>
      <c r="F53" t="e">
        <f t="shared" si="1"/>
        <v>#N/A</v>
      </c>
      <c r="G53" t="e">
        <f t="shared" si="2"/>
        <v>#N/A</v>
      </c>
    </row>
    <row r="54" spans="1:7" x14ac:dyDescent="0.25">
      <c r="A54">
        <v>18</v>
      </c>
      <c r="B54" t="s">
        <v>176</v>
      </c>
      <c r="C54" t="s">
        <v>111</v>
      </c>
      <c r="D54">
        <v>3</v>
      </c>
      <c r="E54" t="e">
        <f t="shared" si="0"/>
        <v>#N/A</v>
      </c>
      <c r="F54">
        <f t="shared" si="1"/>
        <v>3</v>
      </c>
      <c r="G54" t="e">
        <f t="shared" si="2"/>
        <v>#N/A</v>
      </c>
    </row>
    <row r="55" spans="1:7" x14ac:dyDescent="0.25">
      <c r="A55">
        <v>18</v>
      </c>
      <c r="B55" t="s">
        <v>176</v>
      </c>
      <c r="C55" t="s">
        <v>137</v>
      </c>
      <c r="D55">
        <v>5</v>
      </c>
      <c r="E55" t="e">
        <f t="shared" si="0"/>
        <v>#N/A</v>
      </c>
      <c r="F55" t="e">
        <f t="shared" si="1"/>
        <v>#N/A</v>
      </c>
      <c r="G55">
        <f t="shared" si="2"/>
        <v>5</v>
      </c>
    </row>
    <row r="56" spans="1:7" x14ac:dyDescent="0.25">
      <c r="A56">
        <v>19</v>
      </c>
      <c r="B56" t="s">
        <v>177</v>
      </c>
      <c r="C56" t="s">
        <v>106</v>
      </c>
      <c r="D56">
        <v>5</v>
      </c>
      <c r="E56">
        <f t="shared" si="0"/>
        <v>5</v>
      </c>
      <c r="F56" t="e">
        <f t="shared" si="1"/>
        <v>#N/A</v>
      </c>
      <c r="G56" t="e">
        <f t="shared" si="2"/>
        <v>#N/A</v>
      </c>
    </row>
    <row r="57" spans="1:7" x14ac:dyDescent="0.25">
      <c r="A57">
        <v>19</v>
      </c>
      <c r="B57" t="s">
        <v>177</v>
      </c>
      <c r="C57" t="s">
        <v>111</v>
      </c>
      <c r="D57">
        <v>3</v>
      </c>
      <c r="E57" t="e">
        <f t="shared" si="0"/>
        <v>#N/A</v>
      </c>
      <c r="F57">
        <f t="shared" si="1"/>
        <v>3</v>
      </c>
      <c r="G57" t="e">
        <f t="shared" si="2"/>
        <v>#N/A</v>
      </c>
    </row>
    <row r="58" spans="1:7" x14ac:dyDescent="0.25">
      <c r="A58">
        <v>19</v>
      </c>
      <c r="B58" t="s">
        <v>177</v>
      </c>
      <c r="C58" t="s">
        <v>137</v>
      </c>
      <c r="D58">
        <v>5</v>
      </c>
      <c r="E58" t="e">
        <f t="shared" si="0"/>
        <v>#N/A</v>
      </c>
      <c r="F58" t="e">
        <f t="shared" si="1"/>
        <v>#N/A</v>
      </c>
      <c r="G58">
        <f t="shared" si="2"/>
        <v>5</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3"/>
  <sheetViews>
    <sheetView workbookViewId="0">
      <selection activeCell="B1" sqref="B1:D43"/>
    </sheetView>
  </sheetViews>
  <sheetFormatPr defaultRowHeight="15" x14ac:dyDescent="0.25"/>
  <sheetData>
    <row r="1" spans="1:7" x14ac:dyDescent="0.25">
      <c r="A1" s="1" t="s">
        <v>155</v>
      </c>
      <c r="B1" s="1" t="s">
        <v>156</v>
      </c>
      <c r="C1" s="1" t="s">
        <v>157</v>
      </c>
      <c r="D1" s="1" t="s">
        <v>158</v>
      </c>
    </row>
    <row r="2" spans="1:7" x14ac:dyDescent="0.25">
      <c r="A2">
        <v>1</v>
      </c>
      <c r="B2" t="s">
        <v>178</v>
      </c>
      <c r="C2" t="s">
        <v>106</v>
      </c>
      <c r="D2">
        <v>5</v>
      </c>
      <c r="E2">
        <f>IF($C2="Alex Watkins",$D2,NA())</f>
        <v>5</v>
      </c>
      <c r="F2" t="e">
        <f>IF($C2="Eleni Poupaki",$D2,NA())</f>
        <v>#N/A</v>
      </c>
      <c r="G2" t="e">
        <f>IF($C2="Randall Higuchi",$D2,NA())</f>
        <v>#N/A</v>
      </c>
    </row>
    <row r="3" spans="1:7" x14ac:dyDescent="0.25">
      <c r="A3">
        <v>1</v>
      </c>
      <c r="B3" t="s">
        <v>178</v>
      </c>
      <c r="C3" t="s">
        <v>111</v>
      </c>
      <c r="D3">
        <v>3</v>
      </c>
      <c r="E3" t="e">
        <f t="shared" ref="E3:E43" si="0">IF($C3="Alex Watkins",$D3,NA())</f>
        <v>#N/A</v>
      </c>
      <c r="F3">
        <f t="shared" ref="F3:F43" si="1">IF($C3="Eleni Poupaki",$D3,NA())</f>
        <v>3</v>
      </c>
      <c r="G3" t="e">
        <f t="shared" ref="G3:G43" si="2">IF($C3="Randall Higuchi",$D3,NA())</f>
        <v>#N/A</v>
      </c>
    </row>
    <row r="4" spans="1:7" x14ac:dyDescent="0.25">
      <c r="A4">
        <v>1</v>
      </c>
      <c r="B4" t="s">
        <v>178</v>
      </c>
      <c r="C4" t="s">
        <v>137</v>
      </c>
      <c r="D4">
        <v>4</v>
      </c>
      <c r="E4" t="e">
        <f t="shared" si="0"/>
        <v>#N/A</v>
      </c>
      <c r="F4" t="e">
        <f t="shared" si="1"/>
        <v>#N/A</v>
      </c>
      <c r="G4">
        <f t="shared" si="2"/>
        <v>4</v>
      </c>
    </row>
    <row r="5" spans="1:7" x14ac:dyDescent="0.25">
      <c r="A5">
        <v>2</v>
      </c>
      <c r="B5" t="s">
        <v>179</v>
      </c>
      <c r="C5" t="s">
        <v>106</v>
      </c>
      <c r="D5">
        <v>5</v>
      </c>
      <c r="E5">
        <f t="shared" si="0"/>
        <v>5</v>
      </c>
      <c r="F5" t="e">
        <f t="shared" si="1"/>
        <v>#N/A</v>
      </c>
      <c r="G5" t="e">
        <f t="shared" si="2"/>
        <v>#N/A</v>
      </c>
    </row>
    <row r="6" spans="1:7" x14ac:dyDescent="0.25">
      <c r="A6">
        <v>2</v>
      </c>
      <c r="B6" t="s">
        <v>179</v>
      </c>
      <c r="C6" t="s">
        <v>111</v>
      </c>
      <c r="D6">
        <v>4</v>
      </c>
      <c r="E6" t="e">
        <f t="shared" si="0"/>
        <v>#N/A</v>
      </c>
      <c r="F6">
        <f t="shared" si="1"/>
        <v>4</v>
      </c>
      <c r="G6" t="e">
        <f t="shared" si="2"/>
        <v>#N/A</v>
      </c>
    </row>
    <row r="7" spans="1:7" x14ac:dyDescent="0.25">
      <c r="A7">
        <v>2</v>
      </c>
      <c r="B7" t="s">
        <v>179</v>
      </c>
      <c r="C7" t="s">
        <v>137</v>
      </c>
      <c r="D7">
        <v>3</v>
      </c>
      <c r="E7" t="e">
        <f t="shared" si="0"/>
        <v>#N/A</v>
      </c>
      <c r="F7" t="e">
        <f t="shared" si="1"/>
        <v>#N/A</v>
      </c>
      <c r="G7">
        <f t="shared" si="2"/>
        <v>3</v>
      </c>
    </row>
    <row r="8" spans="1:7" x14ac:dyDescent="0.25">
      <c r="A8">
        <v>3</v>
      </c>
      <c r="B8" t="s">
        <v>180</v>
      </c>
      <c r="C8" t="s">
        <v>106</v>
      </c>
      <c r="D8">
        <v>5</v>
      </c>
      <c r="E8">
        <f t="shared" si="0"/>
        <v>5</v>
      </c>
      <c r="F8" t="e">
        <f t="shared" si="1"/>
        <v>#N/A</v>
      </c>
      <c r="G8" t="e">
        <f t="shared" si="2"/>
        <v>#N/A</v>
      </c>
    </row>
    <row r="9" spans="1:7" x14ac:dyDescent="0.25">
      <c r="A9">
        <v>3</v>
      </c>
      <c r="B9" t="s">
        <v>180</v>
      </c>
      <c r="C9" t="s">
        <v>111</v>
      </c>
      <c r="D9">
        <v>3</v>
      </c>
      <c r="E9" t="e">
        <f t="shared" si="0"/>
        <v>#N/A</v>
      </c>
      <c r="F9">
        <f t="shared" si="1"/>
        <v>3</v>
      </c>
      <c r="G9" t="e">
        <f t="shared" si="2"/>
        <v>#N/A</v>
      </c>
    </row>
    <row r="10" spans="1:7" x14ac:dyDescent="0.25">
      <c r="A10">
        <v>3</v>
      </c>
      <c r="B10" t="s">
        <v>180</v>
      </c>
      <c r="C10" t="s">
        <v>137</v>
      </c>
      <c r="D10">
        <v>4</v>
      </c>
      <c r="E10" t="e">
        <f t="shared" si="0"/>
        <v>#N/A</v>
      </c>
      <c r="F10" t="e">
        <f t="shared" si="1"/>
        <v>#N/A</v>
      </c>
      <c r="G10">
        <f t="shared" si="2"/>
        <v>4</v>
      </c>
    </row>
    <row r="11" spans="1:7" x14ac:dyDescent="0.25">
      <c r="A11">
        <v>4</v>
      </c>
      <c r="B11" t="s">
        <v>181</v>
      </c>
      <c r="C11" t="s">
        <v>106</v>
      </c>
      <c r="D11">
        <v>5</v>
      </c>
      <c r="E11">
        <f t="shared" si="0"/>
        <v>5</v>
      </c>
      <c r="F11" t="e">
        <f t="shared" si="1"/>
        <v>#N/A</v>
      </c>
      <c r="G11" t="e">
        <f t="shared" si="2"/>
        <v>#N/A</v>
      </c>
    </row>
    <row r="12" spans="1:7" x14ac:dyDescent="0.25">
      <c r="A12">
        <v>4</v>
      </c>
      <c r="B12" t="s">
        <v>181</v>
      </c>
      <c r="C12" t="s">
        <v>111</v>
      </c>
      <c r="D12">
        <v>3</v>
      </c>
      <c r="E12" t="e">
        <f t="shared" si="0"/>
        <v>#N/A</v>
      </c>
      <c r="F12">
        <f t="shared" si="1"/>
        <v>3</v>
      </c>
      <c r="G12" t="e">
        <f t="shared" si="2"/>
        <v>#N/A</v>
      </c>
    </row>
    <row r="13" spans="1:7" x14ac:dyDescent="0.25">
      <c r="A13">
        <v>4</v>
      </c>
      <c r="B13" t="s">
        <v>181</v>
      </c>
      <c r="C13" t="s">
        <v>137</v>
      </c>
      <c r="D13">
        <v>5</v>
      </c>
      <c r="E13" t="e">
        <f t="shared" si="0"/>
        <v>#N/A</v>
      </c>
      <c r="F13" t="e">
        <f t="shared" si="1"/>
        <v>#N/A</v>
      </c>
      <c r="G13">
        <f t="shared" si="2"/>
        <v>5</v>
      </c>
    </row>
    <row r="14" spans="1:7" x14ac:dyDescent="0.25">
      <c r="A14">
        <v>5</v>
      </c>
      <c r="B14" t="s">
        <v>182</v>
      </c>
      <c r="C14" t="s">
        <v>106</v>
      </c>
      <c r="D14">
        <v>5</v>
      </c>
      <c r="E14">
        <f t="shared" si="0"/>
        <v>5</v>
      </c>
      <c r="F14" t="e">
        <f t="shared" si="1"/>
        <v>#N/A</v>
      </c>
      <c r="G14" t="e">
        <f t="shared" si="2"/>
        <v>#N/A</v>
      </c>
    </row>
    <row r="15" spans="1:7" x14ac:dyDescent="0.25">
      <c r="A15">
        <v>5</v>
      </c>
      <c r="B15" t="s">
        <v>182</v>
      </c>
      <c r="C15" t="s">
        <v>111</v>
      </c>
      <c r="D15">
        <v>4</v>
      </c>
      <c r="E15" t="e">
        <f t="shared" si="0"/>
        <v>#N/A</v>
      </c>
      <c r="F15">
        <f t="shared" si="1"/>
        <v>4</v>
      </c>
      <c r="G15" t="e">
        <f t="shared" si="2"/>
        <v>#N/A</v>
      </c>
    </row>
    <row r="16" spans="1:7" x14ac:dyDescent="0.25">
      <c r="A16">
        <v>5</v>
      </c>
      <c r="B16" t="s">
        <v>182</v>
      </c>
      <c r="C16" t="s">
        <v>137</v>
      </c>
      <c r="D16">
        <v>5</v>
      </c>
      <c r="E16" t="e">
        <f t="shared" si="0"/>
        <v>#N/A</v>
      </c>
      <c r="F16" t="e">
        <f t="shared" si="1"/>
        <v>#N/A</v>
      </c>
      <c r="G16">
        <f t="shared" si="2"/>
        <v>5</v>
      </c>
    </row>
    <row r="17" spans="1:7" x14ac:dyDescent="0.25">
      <c r="A17">
        <v>6</v>
      </c>
      <c r="B17" t="s">
        <v>183</v>
      </c>
      <c r="C17" t="s">
        <v>106</v>
      </c>
      <c r="D17">
        <v>5</v>
      </c>
      <c r="E17">
        <f t="shared" si="0"/>
        <v>5</v>
      </c>
      <c r="F17" t="e">
        <f t="shared" si="1"/>
        <v>#N/A</v>
      </c>
      <c r="G17" t="e">
        <f t="shared" si="2"/>
        <v>#N/A</v>
      </c>
    </row>
    <row r="18" spans="1:7" x14ac:dyDescent="0.25">
      <c r="A18">
        <v>6</v>
      </c>
      <c r="B18" t="s">
        <v>183</v>
      </c>
      <c r="C18" t="s">
        <v>111</v>
      </c>
      <c r="D18">
        <v>3</v>
      </c>
      <c r="E18" t="e">
        <f t="shared" si="0"/>
        <v>#N/A</v>
      </c>
      <c r="F18">
        <f t="shared" si="1"/>
        <v>3</v>
      </c>
      <c r="G18" t="e">
        <f t="shared" si="2"/>
        <v>#N/A</v>
      </c>
    </row>
    <row r="19" spans="1:7" x14ac:dyDescent="0.25">
      <c r="A19">
        <v>6</v>
      </c>
      <c r="B19" t="s">
        <v>183</v>
      </c>
      <c r="C19" t="s">
        <v>137</v>
      </c>
      <c r="D19">
        <v>4</v>
      </c>
      <c r="E19" t="e">
        <f t="shared" si="0"/>
        <v>#N/A</v>
      </c>
      <c r="F19" t="e">
        <f t="shared" si="1"/>
        <v>#N/A</v>
      </c>
      <c r="G19">
        <f t="shared" si="2"/>
        <v>4</v>
      </c>
    </row>
    <row r="20" spans="1:7" x14ac:dyDescent="0.25">
      <c r="A20">
        <v>7</v>
      </c>
      <c r="B20" t="s">
        <v>184</v>
      </c>
      <c r="C20" t="s">
        <v>106</v>
      </c>
      <c r="D20">
        <v>5</v>
      </c>
      <c r="E20">
        <f t="shared" si="0"/>
        <v>5</v>
      </c>
      <c r="F20" t="e">
        <f t="shared" si="1"/>
        <v>#N/A</v>
      </c>
      <c r="G20" t="e">
        <f t="shared" si="2"/>
        <v>#N/A</v>
      </c>
    </row>
    <row r="21" spans="1:7" x14ac:dyDescent="0.25">
      <c r="A21">
        <v>7</v>
      </c>
      <c r="B21" t="s">
        <v>184</v>
      </c>
      <c r="C21" t="s">
        <v>111</v>
      </c>
      <c r="D21">
        <v>4</v>
      </c>
      <c r="E21" t="e">
        <f t="shared" si="0"/>
        <v>#N/A</v>
      </c>
      <c r="F21">
        <f t="shared" si="1"/>
        <v>4</v>
      </c>
      <c r="G21" t="e">
        <f t="shared" si="2"/>
        <v>#N/A</v>
      </c>
    </row>
    <row r="22" spans="1:7" x14ac:dyDescent="0.25">
      <c r="A22">
        <v>7</v>
      </c>
      <c r="B22" t="s">
        <v>184</v>
      </c>
      <c r="C22" t="s">
        <v>137</v>
      </c>
      <c r="D22">
        <v>4</v>
      </c>
      <c r="E22" t="e">
        <f t="shared" si="0"/>
        <v>#N/A</v>
      </c>
      <c r="F22" t="e">
        <f t="shared" si="1"/>
        <v>#N/A</v>
      </c>
      <c r="G22">
        <f t="shared" si="2"/>
        <v>4</v>
      </c>
    </row>
    <row r="23" spans="1:7" x14ac:dyDescent="0.25">
      <c r="A23">
        <v>8</v>
      </c>
      <c r="B23" t="s">
        <v>185</v>
      </c>
      <c r="C23" t="s">
        <v>106</v>
      </c>
      <c r="D23">
        <v>5</v>
      </c>
      <c r="E23">
        <f t="shared" si="0"/>
        <v>5</v>
      </c>
      <c r="F23" t="e">
        <f t="shared" si="1"/>
        <v>#N/A</v>
      </c>
      <c r="G23" t="e">
        <f t="shared" si="2"/>
        <v>#N/A</v>
      </c>
    </row>
    <row r="24" spans="1:7" x14ac:dyDescent="0.25">
      <c r="A24">
        <v>8</v>
      </c>
      <c r="B24" t="s">
        <v>185</v>
      </c>
      <c r="C24" t="s">
        <v>111</v>
      </c>
      <c r="D24">
        <v>5</v>
      </c>
      <c r="E24" t="e">
        <f t="shared" si="0"/>
        <v>#N/A</v>
      </c>
      <c r="F24">
        <f t="shared" si="1"/>
        <v>5</v>
      </c>
      <c r="G24" t="e">
        <f t="shared" si="2"/>
        <v>#N/A</v>
      </c>
    </row>
    <row r="25" spans="1:7" x14ac:dyDescent="0.25">
      <c r="A25">
        <v>8</v>
      </c>
      <c r="B25" t="s">
        <v>185</v>
      </c>
      <c r="C25" t="s">
        <v>137</v>
      </c>
      <c r="D25">
        <v>5</v>
      </c>
      <c r="E25" t="e">
        <f t="shared" si="0"/>
        <v>#N/A</v>
      </c>
      <c r="F25" t="e">
        <f t="shared" si="1"/>
        <v>#N/A</v>
      </c>
      <c r="G25">
        <f t="shared" si="2"/>
        <v>5</v>
      </c>
    </row>
    <row r="26" spans="1:7" x14ac:dyDescent="0.25">
      <c r="A26">
        <v>9</v>
      </c>
      <c r="B26" t="s">
        <v>186</v>
      </c>
      <c r="C26" t="s">
        <v>106</v>
      </c>
      <c r="D26">
        <v>5</v>
      </c>
      <c r="E26">
        <f t="shared" si="0"/>
        <v>5</v>
      </c>
      <c r="F26" t="e">
        <f t="shared" si="1"/>
        <v>#N/A</v>
      </c>
      <c r="G26" t="e">
        <f t="shared" si="2"/>
        <v>#N/A</v>
      </c>
    </row>
    <row r="27" spans="1:7" x14ac:dyDescent="0.25">
      <c r="A27">
        <v>9</v>
      </c>
      <c r="B27" t="s">
        <v>186</v>
      </c>
      <c r="C27" t="s">
        <v>111</v>
      </c>
      <c r="D27">
        <v>3</v>
      </c>
      <c r="E27" t="e">
        <f t="shared" si="0"/>
        <v>#N/A</v>
      </c>
      <c r="F27">
        <f t="shared" si="1"/>
        <v>3</v>
      </c>
      <c r="G27" t="e">
        <f t="shared" si="2"/>
        <v>#N/A</v>
      </c>
    </row>
    <row r="28" spans="1:7" x14ac:dyDescent="0.25">
      <c r="A28">
        <v>9</v>
      </c>
      <c r="B28" t="s">
        <v>186</v>
      </c>
      <c r="C28" t="s">
        <v>137</v>
      </c>
      <c r="D28">
        <v>5</v>
      </c>
      <c r="E28" t="e">
        <f t="shared" si="0"/>
        <v>#N/A</v>
      </c>
      <c r="F28" t="e">
        <f t="shared" si="1"/>
        <v>#N/A</v>
      </c>
      <c r="G28">
        <f t="shared" si="2"/>
        <v>5</v>
      </c>
    </row>
    <row r="29" spans="1:7" x14ac:dyDescent="0.25">
      <c r="A29">
        <v>10</v>
      </c>
      <c r="B29" t="s">
        <v>187</v>
      </c>
      <c r="C29" t="s">
        <v>106</v>
      </c>
      <c r="D29">
        <v>4</v>
      </c>
      <c r="E29">
        <f t="shared" si="0"/>
        <v>4</v>
      </c>
      <c r="F29" t="e">
        <f t="shared" si="1"/>
        <v>#N/A</v>
      </c>
      <c r="G29" t="e">
        <f t="shared" si="2"/>
        <v>#N/A</v>
      </c>
    </row>
    <row r="30" spans="1:7" x14ac:dyDescent="0.25">
      <c r="A30">
        <v>10</v>
      </c>
      <c r="B30" t="s">
        <v>187</v>
      </c>
      <c r="C30" t="s">
        <v>111</v>
      </c>
      <c r="D30">
        <v>3</v>
      </c>
      <c r="E30" t="e">
        <f t="shared" si="0"/>
        <v>#N/A</v>
      </c>
      <c r="F30">
        <f t="shared" si="1"/>
        <v>3</v>
      </c>
      <c r="G30" t="e">
        <f t="shared" si="2"/>
        <v>#N/A</v>
      </c>
    </row>
    <row r="31" spans="1:7" x14ac:dyDescent="0.25">
      <c r="A31">
        <v>10</v>
      </c>
      <c r="B31" t="s">
        <v>187</v>
      </c>
      <c r="C31" t="s">
        <v>137</v>
      </c>
      <c r="D31">
        <v>5</v>
      </c>
      <c r="E31" t="e">
        <f t="shared" si="0"/>
        <v>#N/A</v>
      </c>
      <c r="F31" t="e">
        <f t="shared" si="1"/>
        <v>#N/A</v>
      </c>
      <c r="G31">
        <f t="shared" si="2"/>
        <v>5</v>
      </c>
    </row>
    <row r="32" spans="1:7" x14ac:dyDescent="0.25">
      <c r="A32">
        <v>11</v>
      </c>
      <c r="B32" t="s">
        <v>188</v>
      </c>
      <c r="C32" t="s">
        <v>106</v>
      </c>
      <c r="D32">
        <v>5</v>
      </c>
      <c r="E32">
        <f t="shared" si="0"/>
        <v>5</v>
      </c>
      <c r="F32" t="e">
        <f t="shared" si="1"/>
        <v>#N/A</v>
      </c>
      <c r="G32" t="e">
        <f t="shared" si="2"/>
        <v>#N/A</v>
      </c>
    </row>
    <row r="33" spans="1:7" x14ac:dyDescent="0.25">
      <c r="A33">
        <v>11</v>
      </c>
      <c r="B33" t="s">
        <v>188</v>
      </c>
      <c r="C33" t="s">
        <v>111</v>
      </c>
      <c r="D33">
        <v>2</v>
      </c>
      <c r="E33" t="e">
        <f t="shared" si="0"/>
        <v>#N/A</v>
      </c>
      <c r="F33">
        <f t="shared" si="1"/>
        <v>2</v>
      </c>
      <c r="G33" t="e">
        <f t="shared" si="2"/>
        <v>#N/A</v>
      </c>
    </row>
    <row r="34" spans="1:7" x14ac:dyDescent="0.25">
      <c r="A34">
        <v>11</v>
      </c>
      <c r="B34" t="s">
        <v>188</v>
      </c>
      <c r="C34" t="s">
        <v>137</v>
      </c>
      <c r="D34">
        <v>5</v>
      </c>
      <c r="E34" t="e">
        <f t="shared" si="0"/>
        <v>#N/A</v>
      </c>
      <c r="F34" t="e">
        <f t="shared" si="1"/>
        <v>#N/A</v>
      </c>
      <c r="G34">
        <f t="shared" si="2"/>
        <v>5</v>
      </c>
    </row>
    <row r="35" spans="1:7" x14ac:dyDescent="0.25">
      <c r="A35">
        <v>12</v>
      </c>
      <c r="B35" t="s">
        <v>189</v>
      </c>
      <c r="C35" t="s">
        <v>106</v>
      </c>
      <c r="D35">
        <v>4</v>
      </c>
      <c r="E35">
        <f t="shared" si="0"/>
        <v>4</v>
      </c>
      <c r="F35" t="e">
        <f t="shared" si="1"/>
        <v>#N/A</v>
      </c>
      <c r="G35" t="e">
        <f t="shared" si="2"/>
        <v>#N/A</v>
      </c>
    </row>
    <row r="36" spans="1:7" x14ac:dyDescent="0.25">
      <c r="A36">
        <v>12</v>
      </c>
      <c r="B36" t="s">
        <v>189</v>
      </c>
      <c r="C36" t="s">
        <v>111</v>
      </c>
      <c r="D36">
        <v>3</v>
      </c>
      <c r="E36" t="e">
        <f t="shared" si="0"/>
        <v>#N/A</v>
      </c>
      <c r="F36">
        <f t="shared" si="1"/>
        <v>3</v>
      </c>
      <c r="G36" t="e">
        <f t="shared" si="2"/>
        <v>#N/A</v>
      </c>
    </row>
    <row r="37" spans="1:7" x14ac:dyDescent="0.25">
      <c r="A37">
        <v>12</v>
      </c>
      <c r="B37" t="s">
        <v>189</v>
      </c>
      <c r="C37" t="s">
        <v>137</v>
      </c>
      <c r="D37">
        <v>2</v>
      </c>
      <c r="E37" t="e">
        <f t="shared" si="0"/>
        <v>#N/A</v>
      </c>
      <c r="F37" t="e">
        <f t="shared" si="1"/>
        <v>#N/A</v>
      </c>
      <c r="G37">
        <f t="shared" si="2"/>
        <v>2</v>
      </c>
    </row>
    <row r="38" spans="1:7" x14ac:dyDescent="0.25">
      <c r="A38">
        <v>13</v>
      </c>
      <c r="B38" t="s">
        <v>190</v>
      </c>
      <c r="C38" t="s">
        <v>106</v>
      </c>
      <c r="D38">
        <v>5</v>
      </c>
      <c r="E38">
        <f t="shared" si="0"/>
        <v>5</v>
      </c>
      <c r="F38" t="e">
        <f t="shared" si="1"/>
        <v>#N/A</v>
      </c>
      <c r="G38" t="e">
        <f t="shared" si="2"/>
        <v>#N/A</v>
      </c>
    </row>
    <row r="39" spans="1:7" x14ac:dyDescent="0.25">
      <c r="A39">
        <v>13</v>
      </c>
      <c r="B39" t="s">
        <v>190</v>
      </c>
      <c r="C39" t="s">
        <v>111</v>
      </c>
      <c r="D39">
        <v>2</v>
      </c>
      <c r="E39" t="e">
        <f t="shared" si="0"/>
        <v>#N/A</v>
      </c>
      <c r="F39">
        <f t="shared" si="1"/>
        <v>2</v>
      </c>
      <c r="G39" t="e">
        <f t="shared" si="2"/>
        <v>#N/A</v>
      </c>
    </row>
    <row r="40" spans="1:7" x14ac:dyDescent="0.25">
      <c r="A40">
        <v>13</v>
      </c>
      <c r="B40" t="s">
        <v>190</v>
      </c>
      <c r="C40" t="s">
        <v>137</v>
      </c>
      <c r="D40">
        <v>1</v>
      </c>
      <c r="E40" t="e">
        <f t="shared" si="0"/>
        <v>#N/A</v>
      </c>
      <c r="F40" t="e">
        <f t="shared" si="1"/>
        <v>#N/A</v>
      </c>
      <c r="G40">
        <f t="shared" si="2"/>
        <v>1</v>
      </c>
    </row>
    <row r="41" spans="1:7" x14ac:dyDescent="0.25">
      <c r="A41">
        <v>14</v>
      </c>
      <c r="B41" t="s">
        <v>191</v>
      </c>
      <c r="C41" t="s">
        <v>106</v>
      </c>
      <c r="D41">
        <v>5</v>
      </c>
      <c r="E41">
        <f t="shared" si="0"/>
        <v>5</v>
      </c>
      <c r="F41" t="e">
        <f t="shared" si="1"/>
        <v>#N/A</v>
      </c>
      <c r="G41" t="e">
        <f t="shared" si="2"/>
        <v>#N/A</v>
      </c>
    </row>
    <row r="42" spans="1:7" x14ac:dyDescent="0.25">
      <c r="A42">
        <v>14</v>
      </c>
      <c r="B42" t="s">
        <v>191</v>
      </c>
      <c r="C42" t="s">
        <v>111</v>
      </c>
      <c r="D42">
        <v>1</v>
      </c>
      <c r="E42" t="e">
        <f t="shared" si="0"/>
        <v>#N/A</v>
      </c>
      <c r="F42">
        <f t="shared" si="1"/>
        <v>1</v>
      </c>
      <c r="G42" t="e">
        <f t="shared" si="2"/>
        <v>#N/A</v>
      </c>
    </row>
    <row r="43" spans="1:7" x14ac:dyDescent="0.25">
      <c r="A43">
        <v>14</v>
      </c>
      <c r="B43" t="s">
        <v>191</v>
      </c>
      <c r="C43" t="s">
        <v>137</v>
      </c>
      <c r="D43">
        <v>4</v>
      </c>
      <c r="E43" t="e">
        <f t="shared" si="0"/>
        <v>#N/A</v>
      </c>
      <c r="F43" t="e">
        <f t="shared" si="1"/>
        <v>#N/A</v>
      </c>
      <c r="G43">
        <f t="shared" si="2"/>
        <v>4</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 Responses 1</vt:lpstr>
      <vt:lpstr>ALD_meaningful</vt:lpstr>
      <vt:lpstr>ALE_meaningful</vt:lpstr>
      <vt:lpstr>ALD_useful</vt:lpstr>
      <vt:lpstr>ALE_useful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D'Souza, Jennifer</cp:lastModifiedBy>
  <dcterms:created xsi:type="dcterms:W3CDTF">2025-11-27T12:01:00Z</dcterms:created>
  <dcterms:modified xsi:type="dcterms:W3CDTF">2025-11-27T16:32:29Z</dcterms:modified>
</cp:coreProperties>
</file>